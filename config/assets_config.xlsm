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Работа\Програмиране\C++\Собствени\SDL2_Engine_Project\config\"/>
    </mc:Choice>
  </mc:AlternateContent>
  <bookViews>
    <workbookView xWindow="0" yWindow="0" windowWidth="28800" windowHeight="11835"/>
  </bookViews>
  <sheets>
    <sheet name="EXPORT" sheetId="9" r:id="rId1"/>
    <sheet name="DESC" sheetId="1" r:id="rId2"/>
    <sheet name="IMAGES" sheetId="2" r:id="rId3"/>
    <sheet name="FONTS" sheetId="3" r:id="rId4"/>
    <sheet name="TEXTS" sheetId="4" r:id="rId5"/>
    <sheet name="SOUNDS" sheetId="5" r:id="rId6"/>
    <sheet name="MUSICS" sheetId="6" r:id="rId7"/>
    <sheet name="TIMERS" sheetId="7" r:id="rId8"/>
    <sheet name="CURSORS" sheetId="8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2" l="1"/>
  <c r="B13" i="3" l="1"/>
  <c r="B14" i="3"/>
  <c r="B15" i="3" s="1"/>
  <c r="B13" i="4" l="1"/>
  <c r="B13" i="2"/>
  <c r="B12" i="4" l="1"/>
  <c r="B12" i="2"/>
  <c r="B1" i="3" l="1"/>
  <c r="B1" i="4"/>
  <c r="B1" i="5"/>
  <c r="B1" i="6"/>
  <c r="B1" i="7"/>
  <c r="B1" i="8"/>
  <c r="B1" i="2"/>
  <c r="B10" i="2" l="1"/>
  <c r="B11" i="2" s="1"/>
  <c r="B10" i="8" l="1"/>
  <c r="B10" i="7"/>
  <c r="B11" i="7" s="1"/>
  <c r="B10" i="6"/>
  <c r="B11" i="6" s="1"/>
  <c r="B11" i="8"/>
  <c r="B10" i="4"/>
  <c r="B11" i="4" s="1"/>
  <c r="B10" i="3"/>
  <c r="B11" i="3" s="1"/>
  <c r="B12" i="3" s="1"/>
  <c r="B10" i="5"/>
  <c r="B11" i="5" s="1"/>
  <c r="C12" i="1"/>
  <c r="B13" i="1" s="1"/>
  <c r="C13" i="1" s="1"/>
  <c r="B14" i="1" s="1"/>
  <c r="C14" i="1" s="1"/>
  <c r="B15" i="1" s="1"/>
  <c r="C15" i="1" s="1"/>
  <c r="B16" i="1" s="1"/>
  <c r="C16" i="1" s="1"/>
  <c r="B17" i="1" s="1"/>
  <c r="C17" i="1" s="1"/>
  <c r="B18" i="1" s="1"/>
  <c r="C18" i="1" s="1"/>
  <c r="B19" i="1" s="1"/>
  <c r="C19" i="1" s="1"/>
  <c r="B20" i="1" s="1"/>
  <c r="C20" i="1" s="1"/>
  <c r="B21" i="1" s="1"/>
  <c r="C21" i="1" s="1"/>
  <c r="C2" i="1"/>
  <c r="B3" i="1" s="1"/>
  <c r="C3" i="1" s="1"/>
  <c r="B4" i="1" s="1"/>
  <c r="C4" i="1" s="1"/>
  <c r="B5" i="1" s="1"/>
  <c r="C5" i="1" s="1"/>
  <c r="B6" i="1" s="1"/>
  <c r="C6" i="1" s="1"/>
  <c r="B7" i="1" s="1"/>
  <c r="C7" i="1" s="1"/>
  <c r="B8" i="1" s="1"/>
  <c r="C8" i="1" s="1"/>
</calcChain>
</file>

<file path=xl/sharedStrings.xml><?xml version="1.0" encoding="utf-8"?>
<sst xmlns="http://schemas.openxmlformats.org/spreadsheetml/2006/main" count="122" uniqueCount="69">
  <si>
    <t>id</t>
  </si>
  <si>
    <t>file_name</t>
  </si>
  <si>
    <t>frames</t>
  </si>
  <si>
    <t>Resource</t>
  </si>
  <si>
    <t>Min Id</t>
  </si>
  <si>
    <t>Max Id</t>
  </si>
  <si>
    <t>Images</t>
  </si>
  <si>
    <t>Fonts</t>
  </si>
  <si>
    <t>Texts</t>
  </si>
  <si>
    <t>Sounds</t>
  </si>
  <si>
    <t>Musics</t>
  </si>
  <si>
    <t>Cursors</t>
  </si>
  <si>
    <t>Timers</t>
  </si>
  <si>
    <t>Prefabs</t>
  </si>
  <si>
    <t>UI</t>
  </si>
  <si>
    <t>int</t>
  </si>
  <si>
    <t>string</t>
  </si>
  <si>
    <t>size</t>
  </si>
  <si>
    <t>wrap_align</t>
  </si>
  <si>
    <t>en</t>
  </si>
  <si>
    <t>int_array</t>
  </si>
  <si>
    <t>color</t>
  </si>
  <si>
    <t>0,127,127,255</t>
  </si>
  <si>
    <t>bg</t>
  </si>
  <si>
    <t>font_id</t>
  </si>
  <si>
    <t>volume</t>
  </si>
  <si>
    <t>Export?</t>
  </si>
  <si>
    <t>"assets/images/logo_big.png"</t>
  </si>
  <si>
    <t>"assets/fonts/Consola.ttf"</t>
  </si>
  <si>
    <t>"Hello\nWorld"</t>
  </si>
  <si>
    <t>"Здравей\nСвят"</t>
  </si>
  <si>
    <t>"assets/sounds/clicks/mouse_click.wav"</t>
  </si>
  <si>
    <t>image</t>
  </si>
  <si>
    <t>font</t>
  </si>
  <si>
    <t>text</t>
  </si>
  <si>
    <t>sound</t>
  </si>
  <si>
    <t>music</t>
  </si>
  <si>
    <t>timer</t>
  </si>
  <si>
    <t>cursor</t>
  </si>
  <si>
    <t>type="image";id=1000000;file_name="assets/images/logo_big.png";frames=1;</t>
  </si>
  <si>
    <t>type="font";id=1100002;file_name="assets/fonts/Consola.ttf";size=18;wrap_align=1;</t>
  </si>
  <si>
    <t>type="sound";id=1300000;file_name="assets/sounds/clicks/mouse_click.wav";volume=128;</t>
  </si>
  <si>
    <t>type="font";id=1100000;file_name="assets/fonts/Consola.ttf";size=12;wrap_align=1;</t>
  </si>
  <si>
    <t>type="font";id=1100001;file_name="assets/fonts/Consola.ttf";size=14;wrap_align=1;</t>
  </si>
  <si>
    <t>wrap_width</t>
  </si>
  <si>
    <t>type="text";id=1200000;color=0,127,127,255;font_id=1100002;wrap_width=0;en="Hello\nWorld";bg="Здравей\nСвят";</t>
  </si>
  <si>
    <t>0,0,0,255</t>
  </si>
  <si>
    <t>"Click me!"</t>
  </si>
  <si>
    <t>"Шляпай ме!"</t>
  </si>
  <si>
    <t>"assets/images/ui/checkbox.png"</t>
  </si>
  <si>
    <t>"Some text"</t>
  </si>
  <si>
    <t>"Някакъв текст"</t>
  </si>
  <si>
    <t>type="image";id=1000002;file_name="assets/images/ui/checkbox.png";frames=2;</t>
  </si>
  <si>
    <t>"assets/images/ui/radio_button.png"</t>
  </si>
  <si>
    <t>"Radio button text"</t>
  </si>
  <si>
    <t>"Текст на радио бутона"</t>
  </si>
  <si>
    <t>type="image";id=1000003;file_name="assets/images/ui/radio_button.png";frames=2;</t>
  </si>
  <si>
    <t>"assets/images/ui/button_120x24.png"</t>
  </si>
  <si>
    <t>type="image";id=1000001;file_name="assets/images/ui/button_120x24.png";frames=3;</t>
  </si>
  <si>
    <t>"assets/fonts/Arial.ttf"</t>
  </si>
  <si>
    <t>type="font";id=1100003;file_name="assets/fonts/Arial.ttf";size=12;wrap_align=1;</t>
  </si>
  <si>
    <t>type="font";id=1100004;file_name="assets/fonts/Arial.ttf";size=14;wrap_align=1;</t>
  </si>
  <si>
    <t>type="font";id=1100005;file_name="assets/fonts/Arial.ttf";size=18;wrap_align=1;</t>
  </si>
  <si>
    <t>type="text";id=1200001;color=0,0,0,255;font_id=1100003;wrap_width=0;en="Click me!";bg="Шляпай ме!";</t>
  </si>
  <si>
    <t>type="text";id=1200002;color=0,0,0,255;font_id=1100003;wrap_width=0;en="Some text";bg="Някакъв текст";</t>
  </si>
  <si>
    <t>type="text";id=1200003;color=0,0,0,255;font_id=1100003;wrap_width=0;en="Radio button text";bg="Текст на радио бутона";</t>
  </si>
  <si>
    <t>"assets/images/ui/textbox_280x24.png"</t>
  </si>
  <si>
    <t>image=1;font=6;text=12;sound=16;music=17;timer=17;cursor=17;</t>
  </si>
  <si>
    <t>type="image";id=1000004;file_name="assets/images/ui/textbox_280x24.png";frames=1;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</si>
</sst>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indexed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3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17"/>
  <sheetViews>
    <sheetView tabSelected="1" workbookViewId="0">
      <selection activeCell="R22" sqref="R22"/>
    </sheetView>
  </sheetViews>
  <sheetFormatPr defaultRowHeight="12.75" x14ac:dyDescent="0.2"/>
  <sheetData>
    <row r="1" spans="1:1" x14ac:dyDescent="0.2">
      <c r="A1" t="s">
        <v>67</v>
      </c>
    </row>
    <row r="2" spans="1:1" x14ac:dyDescent="0.2">
      <c r="A2" t="s">
        <v>39</v>
      </c>
    </row>
    <row r="3" spans="1:1" x14ac:dyDescent="0.2">
      <c r="A3" t="s">
        <v>58</v>
      </c>
    </row>
    <row r="4" spans="1:1" x14ac:dyDescent="0.2">
      <c r="A4" t="s">
        <v>52</v>
      </c>
    </row>
    <row r="5" spans="1:1" x14ac:dyDescent="0.2">
      <c r="A5" t="s">
        <v>56</v>
      </c>
    </row>
    <row r="6" spans="1:1" x14ac:dyDescent="0.2">
      <c r="A6" t="s">
        <v>68</v>
      </c>
    </row>
    <row r="7" spans="1:1" x14ac:dyDescent="0.2">
      <c r="A7" t="s">
        <v>42</v>
      </c>
    </row>
    <row r="8" spans="1:1" x14ac:dyDescent="0.2">
      <c r="A8" t="s">
        <v>43</v>
      </c>
    </row>
    <row r="9" spans="1:1" x14ac:dyDescent="0.2">
      <c r="A9" t="s">
        <v>40</v>
      </c>
    </row>
    <row r="10" spans="1:1" x14ac:dyDescent="0.2">
      <c r="A10" t="s">
        <v>60</v>
      </c>
    </row>
    <row r="11" spans="1:1" x14ac:dyDescent="0.2">
      <c r="A11" t="s">
        <v>61</v>
      </c>
    </row>
    <row r="12" spans="1:1" x14ac:dyDescent="0.2">
      <c r="A12" t="s">
        <v>62</v>
      </c>
    </row>
    <row r="13" spans="1:1" x14ac:dyDescent="0.2">
      <c r="A13" t="s">
        <v>45</v>
      </c>
    </row>
    <row r="14" spans="1:1" x14ac:dyDescent="0.2">
      <c r="A14" t="s">
        <v>63</v>
      </c>
    </row>
    <row r="15" spans="1:1" x14ac:dyDescent="0.2">
      <c r="A15" t="s">
        <v>64</v>
      </c>
    </row>
    <row r="16" spans="1:1" x14ac:dyDescent="0.2">
      <c r="A16" t="s">
        <v>65</v>
      </c>
    </row>
    <row r="17" spans="1:1" x14ac:dyDescent="0.2">
      <c r="A17" t="s">
        <v>41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21"/>
  <sheetViews>
    <sheetView workbookViewId="0">
      <selection activeCell="H17" sqref="H17"/>
    </sheetView>
  </sheetViews>
  <sheetFormatPr defaultRowHeight="12.75" x14ac:dyDescent="0.2"/>
  <cols>
    <col min="1" max="1" width="24.7109375" customWidth="1"/>
    <col min="2" max="3" width="12.7109375" customWidth="1"/>
  </cols>
  <sheetData>
    <row r="1" spans="1:3" x14ac:dyDescent="0.2">
      <c r="A1" s="2" t="s">
        <v>3</v>
      </c>
      <c r="B1" s="2" t="s">
        <v>4</v>
      </c>
      <c r="C1" s="2" t="s">
        <v>5</v>
      </c>
    </row>
    <row r="2" spans="1:3" x14ac:dyDescent="0.2">
      <c r="A2" t="s">
        <v>6</v>
      </c>
      <c r="B2" s="1">
        <v>1000000</v>
      </c>
      <c r="C2" s="1">
        <f>B2+99999</f>
        <v>1099999</v>
      </c>
    </row>
    <row r="3" spans="1:3" x14ac:dyDescent="0.2">
      <c r="A3" t="s">
        <v>7</v>
      </c>
      <c r="B3" s="1">
        <f>C2+1</f>
        <v>1100000</v>
      </c>
      <c r="C3" s="1">
        <f>B3+99999</f>
        <v>1199999</v>
      </c>
    </row>
    <row r="4" spans="1:3" x14ac:dyDescent="0.2">
      <c r="A4" t="s">
        <v>8</v>
      </c>
      <c r="B4" s="1">
        <f t="shared" ref="B4:B6" si="0">C3+1</f>
        <v>1200000</v>
      </c>
      <c r="C4" s="1">
        <f t="shared" ref="C4:C8" si="1">B4+99999</f>
        <v>1299999</v>
      </c>
    </row>
    <row r="5" spans="1:3" x14ac:dyDescent="0.2">
      <c r="A5" t="s">
        <v>9</v>
      </c>
      <c r="B5" s="1">
        <f t="shared" si="0"/>
        <v>1300000</v>
      </c>
      <c r="C5" s="1">
        <f t="shared" si="1"/>
        <v>1399999</v>
      </c>
    </row>
    <row r="6" spans="1:3" x14ac:dyDescent="0.2">
      <c r="A6" t="s">
        <v>10</v>
      </c>
      <c r="B6" s="1">
        <f t="shared" si="0"/>
        <v>1400000</v>
      </c>
      <c r="C6" s="1">
        <f t="shared" si="1"/>
        <v>1499999</v>
      </c>
    </row>
    <row r="7" spans="1:3" x14ac:dyDescent="0.2">
      <c r="A7" t="s">
        <v>12</v>
      </c>
      <c r="B7" s="1">
        <f>C6+1</f>
        <v>1500000</v>
      </c>
      <c r="C7" s="1">
        <f t="shared" si="1"/>
        <v>1599999</v>
      </c>
    </row>
    <row r="8" spans="1:3" x14ac:dyDescent="0.2">
      <c r="A8" t="s">
        <v>11</v>
      </c>
      <c r="B8" s="1">
        <f>C7+1</f>
        <v>1600000</v>
      </c>
      <c r="C8" s="1">
        <f t="shared" si="1"/>
        <v>1699999</v>
      </c>
    </row>
    <row r="11" spans="1:3" x14ac:dyDescent="0.2">
      <c r="A11" s="2" t="s">
        <v>13</v>
      </c>
      <c r="B11" s="2" t="s">
        <v>4</v>
      </c>
      <c r="C11" s="2" t="s">
        <v>5</v>
      </c>
    </row>
    <row r="12" spans="1:3" x14ac:dyDescent="0.2">
      <c r="A12" t="s">
        <v>14</v>
      </c>
      <c r="B12" s="1">
        <v>2000000</v>
      </c>
      <c r="C12" s="1">
        <f>B12+99999</f>
        <v>2099999</v>
      </c>
    </row>
    <row r="13" spans="1:3" x14ac:dyDescent="0.2">
      <c r="B13" s="1">
        <f>C12+1</f>
        <v>2100000</v>
      </c>
      <c r="C13" s="1">
        <f>B13+99999</f>
        <v>2199999</v>
      </c>
    </row>
    <row r="14" spans="1:3" x14ac:dyDescent="0.2">
      <c r="B14" s="1">
        <f t="shared" ref="B14:B21" si="2">C13+1</f>
        <v>2200000</v>
      </c>
      <c r="C14" s="1">
        <f t="shared" ref="C14:C21" si="3">B14+99999</f>
        <v>2299999</v>
      </c>
    </row>
    <row r="15" spans="1:3" x14ac:dyDescent="0.2">
      <c r="B15" s="1">
        <f t="shared" si="2"/>
        <v>2300000</v>
      </c>
      <c r="C15" s="1">
        <f t="shared" si="3"/>
        <v>2399999</v>
      </c>
    </row>
    <row r="16" spans="1:3" x14ac:dyDescent="0.2">
      <c r="B16" s="1">
        <f t="shared" si="2"/>
        <v>2400000</v>
      </c>
      <c r="C16" s="1">
        <f t="shared" si="3"/>
        <v>2499999</v>
      </c>
    </row>
    <row r="17" spans="2:3" x14ac:dyDescent="0.2">
      <c r="B17" s="1">
        <f t="shared" si="2"/>
        <v>2500000</v>
      </c>
      <c r="C17" s="1">
        <f t="shared" si="3"/>
        <v>2599999</v>
      </c>
    </row>
    <row r="18" spans="2:3" x14ac:dyDescent="0.2">
      <c r="B18" s="1">
        <f t="shared" si="2"/>
        <v>2600000</v>
      </c>
      <c r="C18" s="1">
        <f t="shared" si="3"/>
        <v>2699999</v>
      </c>
    </row>
    <row r="19" spans="2:3" x14ac:dyDescent="0.2">
      <c r="B19" s="1">
        <f t="shared" si="2"/>
        <v>2700000</v>
      </c>
      <c r="C19" s="1">
        <f t="shared" si="3"/>
        <v>2799999</v>
      </c>
    </row>
    <row r="20" spans="2:3" x14ac:dyDescent="0.2">
      <c r="B20" s="1">
        <f t="shared" si="2"/>
        <v>2800000</v>
      </c>
      <c r="C20" s="1">
        <f t="shared" si="3"/>
        <v>2899999</v>
      </c>
    </row>
    <row r="21" spans="2:3" x14ac:dyDescent="0.2">
      <c r="B21" s="1">
        <f t="shared" si="2"/>
        <v>2900000</v>
      </c>
      <c r="C21" s="1">
        <f t="shared" si="3"/>
        <v>2999999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G14"/>
  <sheetViews>
    <sheetView workbookViewId="0">
      <selection activeCell="D27" sqref="D27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7" x14ac:dyDescent="0.2">
      <c r="A1" t="s">
        <v>32</v>
      </c>
      <c r="B1">
        <f>COUNTIFS(A:A,TRUE)</f>
        <v>5</v>
      </c>
    </row>
    <row r="8" spans="1:7" x14ac:dyDescent="0.2">
      <c r="B8" s="2" t="s">
        <v>15</v>
      </c>
      <c r="C8" s="2" t="s">
        <v>16</v>
      </c>
      <c r="D8" s="2" t="s">
        <v>15</v>
      </c>
      <c r="G8" s="2"/>
    </row>
    <row r="9" spans="1:7" x14ac:dyDescent="0.2">
      <c r="A9" s="2" t="s">
        <v>26</v>
      </c>
      <c r="B9" s="2" t="s">
        <v>0</v>
      </c>
      <c r="C9" s="2" t="s">
        <v>1</v>
      </c>
      <c r="D9" s="2" t="s">
        <v>2</v>
      </c>
      <c r="G9" s="2"/>
    </row>
    <row r="10" spans="1:7" x14ac:dyDescent="0.2">
      <c r="A10" t="b">
        <v>1</v>
      </c>
      <c r="B10" s="1">
        <f>DESC!B2</f>
        <v>1000000</v>
      </c>
      <c r="C10" t="s">
        <v>27</v>
      </c>
      <c r="D10">
        <v>1</v>
      </c>
    </row>
    <row r="11" spans="1:7" x14ac:dyDescent="0.2">
      <c r="A11" t="b">
        <v>1</v>
      </c>
      <c r="B11" s="1">
        <f>B10+1</f>
        <v>1000001</v>
      </c>
      <c r="C11" t="s">
        <v>57</v>
      </c>
      <c r="D11">
        <v>3</v>
      </c>
    </row>
    <row r="12" spans="1:7" x14ac:dyDescent="0.2">
      <c r="A12" t="b">
        <v>1</v>
      </c>
      <c r="B12" s="1">
        <f>B11+1</f>
        <v>1000002</v>
      </c>
      <c r="C12" t="s">
        <v>49</v>
      </c>
      <c r="D12">
        <v>2</v>
      </c>
    </row>
    <row r="13" spans="1:7" x14ac:dyDescent="0.2">
      <c r="A13" t="b">
        <v>1</v>
      </c>
      <c r="B13" s="1">
        <f>B12+1</f>
        <v>1000003</v>
      </c>
      <c r="C13" t="s">
        <v>53</v>
      </c>
      <c r="D13">
        <v>2</v>
      </c>
    </row>
    <row r="14" spans="1:7" x14ac:dyDescent="0.2">
      <c r="A14" t="b">
        <v>1</v>
      </c>
      <c r="B14" s="1">
        <f>B13+1</f>
        <v>1000004</v>
      </c>
      <c r="C14" t="s">
        <v>66</v>
      </c>
      <c r="D14">
        <v>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E15"/>
  <sheetViews>
    <sheetView workbookViewId="0">
      <selection activeCell="F14" sqref="F14"/>
    </sheetView>
  </sheetViews>
  <sheetFormatPr defaultRowHeight="12.75" x14ac:dyDescent="0.2"/>
  <cols>
    <col min="2" max="2" width="12.7109375" customWidth="1"/>
    <col min="3" max="3" width="36.7109375" customWidth="1"/>
    <col min="4" max="5" width="12.7109375" customWidth="1"/>
  </cols>
  <sheetData>
    <row r="1" spans="1:5" x14ac:dyDescent="0.2">
      <c r="A1" t="s">
        <v>33</v>
      </c>
      <c r="B1">
        <f>COUNTIFS(A:A,TRUE)</f>
        <v>6</v>
      </c>
    </row>
    <row r="8" spans="1:5" x14ac:dyDescent="0.2">
      <c r="B8" s="2" t="s">
        <v>15</v>
      </c>
      <c r="C8" s="2" t="s">
        <v>16</v>
      </c>
      <c r="D8" s="2" t="s">
        <v>15</v>
      </c>
      <c r="E8" s="2" t="s">
        <v>15</v>
      </c>
    </row>
    <row r="9" spans="1:5" x14ac:dyDescent="0.2">
      <c r="A9" s="3" t="s">
        <v>26</v>
      </c>
      <c r="B9" s="2" t="s">
        <v>0</v>
      </c>
      <c r="C9" s="2" t="s">
        <v>1</v>
      </c>
      <c r="D9" s="2" t="s">
        <v>17</v>
      </c>
      <c r="E9" s="2" t="s">
        <v>18</v>
      </c>
    </row>
    <row r="10" spans="1:5" x14ac:dyDescent="0.2">
      <c r="A10" t="b">
        <v>1</v>
      </c>
      <c r="B10" s="1">
        <f>DESC!B3</f>
        <v>1100000</v>
      </c>
      <c r="C10" t="s">
        <v>28</v>
      </c>
      <c r="D10">
        <v>12</v>
      </c>
      <c r="E10">
        <v>1</v>
      </c>
    </row>
    <row r="11" spans="1:5" x14ac:dyDescent="0.2">
      <c r="A11" t="b">
        <v>1</v>
      </c>
      <c r="B11" s="1">
        <f>B10+1</f>
        <v>1100001</v>
      </c>
      <c r="C11" t="s">
        <v>28</v>
      </c>
      <c r="D11">
        <v>14</v>
      </c>
      <c r="E11">
        <v>1</v>
      </c>
    </row>
    <row r="12" spans="1:5" x14ac:dyDescent="0.2">
      <c r="A12" t="b">
        <v>1</v>
      </c>
      <c r="B12" s="1">
        <f>B11+1</f>
        <v>1100002</v>
      </c>
      <c r="C12" t="s">
        <v>28</v>
      </c>
      <c r="D12">
        <v>18</v>
      </c>
      <c r="E12">
        <v>1</v>
      </c>
    </row>
    <row r="13" spans="1:5" x14ac:dyDescent="0.2">
      <c r="A13" t="b">
        <v>1</v>
      </c>
      <c r="B13" s="1">
        <f>B12+1</f>
        <v>1100003</v>
      </c>
      <c r="C13" t="s">
        <v>59</v>
      </c>
      <c r="D13">
        <v>12</v>
      </c>
      <c r="E13">
        <v>1</v>
      </c>
    </row>
    <row r="14" spans="1:5" x14ac:dyDescent="0.2">
      <c r="A14" t="b">
        <v>1</v>
      </c>
      <c r="B14" s="1">
        <f>B13+1</f>
        <v>1100004</v>
      </c>
      <c r="C14" t="s">
        <v>59</v>
      </c>
      <c r="D14">
        <v>14</v>
      </c>
      <c r="E14">
        <v>1</v>
      </c>
    </row>
    <row r="15" spans="1:5" x14ac:dyDescent="0.2">
      <c r="A15" t="b">
        <v>1</v>
      </c>
      <c r="B15" s="1">
        <f>B14+1</f>
        <v>1100005</v>
      </c>
      <c r="C15" t="s">
        <v>59</v>
      </c>
      <c r="D15">
        <v>18</v>
      </c>
      <c r="E15">
        <v>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G13"/>
  <sheetViews>
    <sheetView workbookViewId="0">
      <selection activeCell="D14" sqref="D14"/>
    </sheetView>
  </sheetViews>
  <sheetFormatPr defaultRowHeight="12.75" x14ac:dyDescent="0.2"/>
  <cols>
    <col min="2" max="2" width="12.7109375" customWidth="1"/>
    <col min="3" max="3" width="18.7109375" customWidth="1"/>
    <col min="4" max="5" width="12.7109375" customWidth="1"/>
    <col min="6" max="7" width="36.7109375" customWidth="1"/>
  </cols>
  <sheetData>
    <row r="1" spans="1:7" x14ac:dyDescent="0.2">
      <c r="A1" t="s">
        <v>34</v>
      </c>
      <c r="B1">
        <f>COUNTIFS(A:A,TRUE)</f>
        <v>4</v>
      </c>
    </row>
    <row r="8" spans="1:7" x14ac:dyDescent="0.2">
      <c r="B8" s="2" t="s">
        <v>15</v>
      </c>
      <c r="C8" s="2" t="s">
        <v>20</v>
      </c>
      <c r="D8" s="2" t="s">
        <v>15</v>
      </c>
      <c r="E8" s="2" t="s">
        <v>15</v>
      </c>
      <c r="F8" s="2" t="s">
        <v>16</v>
      </c>
      <c r="G8" s="2" t="s">
        <v>16</v>
      </c>
    </row>
    <row r="9" spans="1:7" x14ac:dyDescent="0.2">
      <c r="A9" s="3" t="s">
        <v>26</v>
      </c>
      <c r="B9" s="2" t="s">
        <v>0</v>
      </c>
      <c r="C9" s="2" t="s">
        <v>21</v>
      </c>
      <c r="D9" s="2" t="s">
        <v>24</v>
      </c>
      <c r="E9" s="2" t="s">
        <v>44</v>
      </c>
      <c r="F9" s="2" t="s">
        <v>19</v>
      </c>
      <c r="G9" s="2" t="s">
        <v>23</v>
      </c>
    </row>
    <row r="10" spans="1:7" x14ac:dyDescent="0.2">
      <c r="A10" t="b">
        <v>1</v>
      </c>
      <c r="B10" s="1">
        <f>DESC!B4</f>
        <v>1200000</v>
      </c>
      <c r="C10" s="1" t="s">
        <v>22</v>
      </c>
      <c r="D10">
        <v>1100002</v>
      </c>
      <c r="E10">
        <v>0</v>
      </c>
      <c r="F10" t="s">
        <v>29</v>
      </c>
      <c r="G10" t="s">
        <v>30</v>
      </c>
    </row>
    <row r="11" spans="1:7" x14ac:dyDescent="0.2">
      <c r="A11" t="b">
        <v>1</v>
      </c>
      <c r="B11" s="1">
        <f>B10+1</f>
        <v>1200001</v>
      </c>
      <c r="C11" s="1" t="s">
        <v>46</v>
      </c>
      <c r="D11">
        <v>1100003</v>
      </c>
      <c r="E11">
        <v>0</v>
      </c>
      <c r="F11" t="s">
        <v>47</v>
      </c>
      <c r="G11" t="s">
        <v>48</v>
      </c>
    </row>
    <row r="12" spans="1:7" x14ac:dyDescent="0.2">
      <c r="A12" t="b">
        <v>1</v>
      </c>
      <c r="B12" s="1">
        <f>B11+1</f>
        <v>1200002</v>
      </c>
      <c r="C12" s="1" t="s">
        <v>46</v>
      </c>
      <c r="D12">
        <v>1100003</v>
      </c>
      <c r="E12">
        <v>0</v>
      </c>
      <c r="F12" t="s">
        <v>50</v>
      </c>
      <c r="G12" t="s">
        <v>51</v>
      </c>
    </row>
    <row r="13" spans="1:7" x14ac:dyDescent="0.2">
      <c r="A13" t="b">
        <v>1</v>
      </c>
      <c r="B13" s="1">
        <f>B12+1</f>
        <v>1200003</v>
      </c>
      <c r="C13" s="1" t="s">
        <v>46</v>
      </c>
      <c r="D13">
        <v>1100003</v>
      </c>
      <c r="E13">
        <v>0</v>
      </c>
      <c r="F13" t="s">
        <v>54</v>
      </c>
      <c r="G13" t="s">
        <v>55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D11"/>
  <sheetViews>
    <sheetView workbookViewId="0">
      <selection activeCell="B2" sqref="B2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35</v>
      </c>
      <c r="B1">
        <f>COUNTIFS(A:A,TRUE)</f>
        <v>1</v>
      </c>
    </row>
    <row r="8" spans="1:4" x14ac:dyDescent="0.2">
      <c r="B8" s="2" t="s">
        <v>15</v>
      </c>
      <c r="C8" s="2" t="s">
        <v>16</v>
      </c>
      <c r="D8" s="2" t="s">
        <v>15</v>
      </c>
    </row>
    <row r="9" spans="1:4" x14ac:dyDescent="0.2">
      <c r="A9" s="3" t="s">
        <v>26</v>
      </c>
      <c r="B9" s="2" t="s">
        <v>0</v>
      </c>
      <c r="C9" s="2" t="s">
        <v>1</v>
      </c>
      <c r="D9" s="2" t="s">
        <v>25</v>
      </c>
    </row>
    <row r="10" spans="1:4" x14ac:dyDescent="0.2">
      <c r="A10" t="b">
        <v>1</v>
      </c>
      <c r="B10" s="1">
        <f>DESC!B5</f>
        <v>1300000</v>
      </c>
      <c r="C10" t="s">
        <v>31</v>
      </c>
      <c r="D10">
        <v>128</v>
      </c>
    </row>
    <row r="11" spans="1:4" x14ac:dyDescent="0.2">
      <c r="B11" s="1">
        <f>B10+1</f>
        <v>1300001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D11"/>
  <sheetViews>
    <sheetView workbookViewId="0">
      <selection activeCell="A10" sqref="A10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36</v>
      </c>
      <c r="B1">
        <f>COUNTIFS(A:A,TRUE)</f>
        <v>0</v>
      </c>
    </row>
    <row r="8" spans="1:4" x14ac:dyDescent="0.2">
      <c r="B8" s="2" t="s">
        <v>15</v>
      </c>
      <c r="C8" s="2" t="s">
        <v>16</v>
      </c>
      <c r="D8" s="2" t="s">
        <v>15</v>
      </c>
    </row>
    <row r="9" spans="1:4" x14ac:dyDescent="0.2">
      <c r="A9" s="3" t="s">
        <v>26</v>
      </c>
      <c r="B9" s="2" t="s">
        <v>0</v>
      </c>
      <c r="C9" s="2" t="s">
        <v>1</v>
      </c>
      <c r="D9" s="2" t="s">
        <v>25</v>
      </c>
    </row>
    <row r="10" spans="1:4" x14ac:dyDescent="0.2">
      <c r="B10" s="1">
        <f>DESC!B6</f>
        <v>1400000</v>
      </c>
      <c r="C10" t="s">
        <v>31</v>
      </c>
      <c r="D10">
        <v>128</v>
      </c>
    </row>
    <row r="11" spans="1:4" x14ac:dyDescent="0.2">
      <c r="B11" s="1">
        <f>B10+1</f>
        <v>1400001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D11"/>
  <sheetViews>
    <sheetView workbookViewId="0">
      <selection activeCell="B2" sqref="B2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37</v>
      </c>
      <c r="B1">
        <f>COUNTIFS(A:A,TRUE)</f>
        <v>0</v>
      </c>
    </row>
    <row r="8" spans="1:4" x14ac:dyDescent="0.2">
      <c r="B8" s="2" t="s">
        <v>15</v>
      </c>
      <c r="C8" s="2" t="s">
        <v>16</v>
      </c>
      <c r="D8" s="2" t="s">
        <v>15</v>
      </c>
    </row>
    <row r="9" spans="1:4" x14ac:dyDescent="0.2">
      <c r="A9" s="3" t="s">
        <v>26</v>
      </c>
      <c r="B9" s="2" t="s">
        <v>0</v>
      </c>
      <c r="C9" s="2" t="s">
        <v>1</v>
      </c>
      <c r="D9" s="2" t="s">
        <v>25</v>
      </c>
    </row>
    <row r="10" spans="1:4" x14ac:dyDescent="0.2">
      <c r="B10" s="1">
        <f>DESC!B7</f>
        <v>1500000</v>
      </c>
      <c r="C10" t="s">
        <v>31</v>
      </c>
      <c r="D10">
        <v>128</v>
      </c>
    </row>
    <row r="11" spans="1:4" x14ac:dyDescent="0.2">
      <c r="B11" s="1">
        <f>B10+1</f>
        <v>1500001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D11"/>
  <sheetViews>
    <sheetView workbookViewId="0">
      <selection activeCell="A10" sqref="A10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38</v>
      </c>
      <c r="B1">
        <f>COUNTIFS(A:A,TRUE)</f>
        <v>0</v>
      </c>
    </row>
    <row r="8" spans="1:4" x14ac:dyDescent="0.2">
      <c r="B8" s="2" t="s">
        <v>15</v>
      </c>
      <c r="C8" s="2" t="s">
        <v>16</v>
      </c>
      <c r="D8" s="2" t="s">
        <v>15</v>
      </c>
    </row>
    <row r="9" spans="1:4" x14ac:dyDescent="0.2">
      <c r="A9" s="3" t="s">
        <v>26</v>
      </c>
      <c r="B9" s="2" t="s">
        <v>0</v>
      </c>
      <c r="C9" s="2" t="s">
        <v>1</v>
      </c>
      <c r="D9" s="2" t="s">
        <v>25</v>
      </c>
    </row>
    <row r="10" spans="1:4" x14ac:dyDescent="0.2">
      <c r="B10" s="1">
        <f>DESC!B8</f>
        <v>1600000</v>
      </c>
      <c r="C10" t="s">
        <v>31</v>
      </c>
      <c r="D10">
        <v>128</v>
      </c>
    </row>
    <row r="11" spans="1:4" x14ac:dyDescent="0.2">
      <c r="B11" s="1">
        <f>B10+1</f>
        <v>1600001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EXPORT</vt:lpstr>
      <vt:lpstr>DESC</vt:lpstr>
      <vt:lpstr>IMAGES</vt:lpstr>
      <vt:lpstr>FONTS</vt:lpstr>
      <vt:lpstr>TEXTS</vt:lpstr>
      <vt:lpstr>SOUNDS</vt:lpstr>
      <vt:lpstr>MUSICS</vt:lpstr>
      <vt:lpstr>TIMERS</vt:lpstr>
      <vt:lpstr>CURSORS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 Damyanov</cp:lastModifiedBy>
  <dcterms:created xsi:type="dcterms:W3CDTF">2023-03-26T12:56:31Z</dcterms:created>
  <dcterms:modified xsi:type="dcterms:W3CDTF">2023-03-31T12:23:19Z</dcterms:modified>
</cp:coreProperties>
</file>