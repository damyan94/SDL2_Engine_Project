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2.xml" ContentType="application/vnd.openxmlformats-officedocument.spreadsheetml.table+xml"/>
  <Override PartName="/xl/printerSettings/printerSettings4.bin" ContentType="application/vnd.openxmlformats-officedocument.spreadsheetml.printerSettings"/>
  <Override PartName="/xl/tables/table3.xml" ContentType="application/vnd.openxmlformats-officedocument.spreadsheetml.table+xml"/>
  <Override PartName="/xl/printerSettings/printerSettings5.bin" ContentType="application/vnd.openxmlformats-officedocument.spreadsheetml.printerSettings"/>
  <Override PartName="/xl/tables/table4.xml" ContentType="application/vnd.openxmlformats-officedocument.spreadsheetml.table+xml"/>
  <Override PartName="/xl/printerSettings/printerSettings6.bin" ContentType="application/vnd.openxmlformats-officedocument.spreadsheetml.printerSettings"/>
  <Override PartName="/xl/tables/table5.xml" ContentType="application/vnd.openxmlformats-officedocument.spreadsheetml.table+xml"/>
  <Override PartName="/xl/printerSettings/printerSettings7.bin" ContentType="application/vnd.openxmlformats-officedocument.spreadsheetml.printerSettings"/>
  <Override PartName="/xl/tables/table6.xml" ContentType="application/vnd.openxmlformats-officedocument.spreadsheetml.table+xml"/>
  <Override PartName="/xl/printerSettings/printerSettings8.bin" ContentType="application/vnd.openxmlformats-officedocument.spreadsheetml.printerSettings"/>
  <Override PartName="/xl/tables/table7.xml" ContentType="application/vnd.openxmlformats-officedocument.spreadsheetml.table+xml"/>
  <Override PartName="/xl/printerSettings/printerSettings9.bin" ContentType="application/vnd.openxmlformats-officedocument.spreadsheetml.printerSettings"/>
  <Override PartName="/xl/tables/table8.xml" ContentType="application/vnd.openxmlformats-officedocument.spreadsheetml.table+xml"/>
  <Override PartName="/xl/printerSettings/printerSettings10.bin" ContentType="application/vnd.openxmlformats-officedocument.spreadsheetml.printerSettings"/>
  <Override PartName="/xl/tables/table9.xml" ContentType="application/vnd.openxmlformats-officedocument.spreadsheetml.table+xml"/>
  <Override PartName="/xl/printerSettings/printerSettings11.bin" ContentType="application/vnd.openxmlformats-officedocument.spreadsheetml.printerSettings"/>
  <Override PartName="/xl/tables/table10.xml" ContentType="application/vnd.openxmlformats-officedocument.spreadsheetml.table+xml"/>
  <Override PartName="/xl/printerSettings/printerSettings12.bin" ContentType="application/vnd.openxmlformats-officedocument.spreadsheetml.printerSettings"/>
  <Override PartName="/xl/tables/table11.xml" ContentType="application/vnd.openxmlformats-officedocument.spreadsheetml.table+xml"/>
  <Override PartName="/xl/printerSettings/printerSettings13.bin" ContentType="application/vnd.openxmlformats-officedocument.spreadsheetml.printerSettings"/>
  <Override PartName="/xl/tables/table12.xml" ContentType="application/vnd.openxmlformats-officedocument.spreadsheetml.table+xml"/>
  <Override PartName="/xl/printerSettings/printerSettings14.bin" ContentType="application/vnd.openxmlformats-officedocument.spreadsheetml.printerSettings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damyanov6\source\repos\SDL2_Engine_Project\Config\Config_XLSX\"/>
    </mc:Choice>
  </mc:AlternateContent>
  <xr:revisionPtr revIDLastSave="0" documentId="13_ncr:1_{2EA389F0-06A3-4587-AAEF-498D13BD6D8B}" xr6:coauthVersionLast="47" xr6:coauthVersionMax="47" xr10:uidLastSave="{00000000-0000-0000-0000-000000000000}"/>
  <bookViews>
    <workbookView xWindow="-120" yWindow="-120" windowWidth="29040" windowHeight="17520" tabRatio="748" xr2:uid="{00000000-000D-0000-FFFF-FFFF00000000}"/>
  </bookViews>
  <sheets>
    <sheet name="EXPORT" sheetId="9" r:id="rId1"/>
    <sheet name="DESC" sheetId="1" r:id="rId2"/>
    <sheet name="Image" sheetId="2" r:id="rId3"/>
    <sheet name="String" sheetId="21" r:id="rId4"/>
    <sheet name="Font" sheetId="11" r:id="rId5"/>
    <sheet name="Text" sheetId="12" r:id="rId6"/>
    <sheet name="Sound" sheetId="13" r:id="rId7"/>
    <sheet name="Music" sheetId="14" r:id="rId8"/>
    <sheet name="ImageBox" sheetId="10" r:id="rId9"/>
    <sheet name="Label" sheetId="15" r:id="rId10"/>
    <sheet name="Button" sheetId="16" r:id="rId11"/>
    <sheet name="Checkbox" sheetId="17" r:id="rId12"/>
    <sheet name="RadioButton" sheetId="18" r:id="rId13"/>
    <sheet name="Textbox" sheetId="19" r:id="rId14"/>
    <sheet name="Menu" sheetId="20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21" l="1"/>
  <c r="C12" i="21" s="1"/>
  <c r="C11" i="16"/>
  <c r="C12" i="16" s="1"/>
  <c r="C11" i="12"/>
  <c r="C12" i="12" s="1"/>
  <c r="C11" i="11"/>
  <c r="C12" i="11" s="1"/>
  <c r="C13" i="11" s="1"/>
  <c r="C14" i="11" s="1"/>
  <c r="C15" i="11" s="1"/>
  <c r="C11" i="2"/>
  <c r="C12" i="2" s="1"/>
  <c r="C13" i="2" s="1"/>
  <c r="C14" i="2" s="1"/>
  <c r="C15" i="2" s="1"/>
  <c r="C5" i="1"/>
  <c r="C15" i="1"/>
  <c r="C6" i="1"/>
  <c r="C8" i="1"/>
  <c r="C9" i="1"/>
  <c r="C10" i="1"/>
  <c r="C11" i="1"/>
  <c r="C12" i="1"/>
  <c r="C14" i="1"/>
  <c r="C7" i="1"/>
  <c r="C13" i="1"/>
  <c r="G12" i="12"/>
  <c r="G11" i="12"/>
  <c r="G10" i="12"/>
  <c r="I10" i="18"/>
  <c r="C4" i="1"/>
  <c r="I10" i="16"/>
  <c r="G10" i="19"/>
  <c r="I10" i="19"/>
  <c r="I10" i="12"/>
  <c r="G10" i="15"/>
  <c r="G10" i="17"/>
  <c r="I10" i="17"/>
  <c r="K10" i="18"/>
  <c r="I12" i="12"/>
  <c r="K11" i="16"/>
  <c r="K10" i="16"/>
  <c r="K12" i="16"/>
  <c r="G10" i="18"/>
  <c r="C3" i="1"/>
  <c r="I12" i="16"/>
  <c r="G12" i="16"/>
  <c r="I11" i="16"/>
  <c r="G10" i="10"/>
  <c r="G11" i="16"/>
  <c r="I11" i="12"/>
  <c r="G10" i="16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</calcChain>
</file>

<file path=xl/sharedStrings.xml><?xml version="1.0" encoding="utf-8"?>
<sst xmlns="http://schemas.openxmlformats.org/spreadsheetml/2006/main" count="358" uniqueCount="117">
  <si>
    <t>Export?</t>
  </si>
  <si>
    <t>0,0,0,255</t>
  </si>
  <si>
    <t>100,450</t>
  </si>
  <si>
    <t>100,500</t>
  </si>
  <si>
    <t>100,550</t>
  </si>
  <si>
    <t>300,50</t>
  </si>
  <si>
    <t>50,250</t>
  </si>
  <si>
    <t>Assets &amp; objects lookup data</t>
  </si>
  <si>
    <t>New game</t>
  </si>
  <si>
    <t>Нова игра</t>
  </si>
  <si>
    <t>Settings</t>
  </si>
  <si>
    <t>Quit</t>
  </si>
  <si>
    <t>Изход</t>
  </si>
  <si>
    <t>Настройки</t>
  </si>
  <si>
    <t>580,100</t>
  </si>
  <si>
    <t>580,140</t>
  </si>
  <si>
    <t>580,180</t>
  </si>
  <si>
    <t>560,80,160,144</t>
  </si>
  <si>
    <t>Type</t>
  </si>
  <si>
    <t>Name</t>
  </si>
  <si>
    <t>FileName</t>
  </si>
  <si>
    <t>Frames</t>
  </si>
  <si>
    <t>Size</t>
  </si>
  <si>
    <t>WrapAlign</t>
  </si>
  <si>
    <t>Color</t>
  </si>
  <si>
    <t>FontId</t>
  </si>
  <si>
    <t>WrapWidth</t>
  </si>
  <si>
    <t>EN</t>
  </si>
  <si>
    <t>BG</t>
  </si>
  <si>
    <t>Volume</t>
  </si>
  <si>
    <t>LogoBig</t>
  </si>
  <si>
    <t>Button_120x24</t>
  </si>
  <si>
    <t>Checkbox</t>
  </si>
  <si>
    <t>RadioButton</t>
  </si>
  <si>
    <t>Textbox_280x24</t>
  </si>
  <si>
    <t>TerrainTiles</t>
  </si>
  <si>
    <t>Consola_12</t>
  </si>
  <si>
    <t>Consola_14</t>
  </si>
  <si>
    <t>Consola_18</t>
  </si>
  <si>
    <t>Arial_12</t>
  </si>
  <si>
    <t>Arial_14</t>
  </si>
  <si>
    <t>Arial_18</t>
  </si>
  <si>
    <t>ButtonStartMenuNewGame</t>
  </si>
  <si>
    <t>ButtonStartMenuQuit</t>
  </si>
  <si>
    <t>ButtonStartMenuSettings</t>
  </si>
  <si>
    <t>MouseClick</t>
  </si>
  <si>
    <t>Image</t>
  </si>
  <si>
    <t>String</t>
  </si>
  <si>
    <t>Int</t>
  </si>
  <si>
    <t>Font</t>
  </si>
  <si>
    <t>Text</t>
  </si>
  <si>
    <t>Sound</t>
  </si>
  <si>
    <t>Music</t>
  </si>
  <si>
    <t>IntArray</t>
  </si>
  <si>
    <t>Position</t>
  </si>
  <si>
    <t>ImageId</t>
  </si>
  <si>
    <t>TextId</t>
  </si>
  <si>
    <t>SoundId</t>
  </si>
  <si>
    <t>MaximumChars</t>
  </si>
  <si>
    <t>TextColor</t>
  </si>
  <si>
    <t>ComponentIds</t>
  </si>
  <si>
    <t>Id</t>
  </si>
  <si>
    <t>ImageBox</t>
  </si>
  <si>
    <t>LabelHelloWorld</t>
  </si>
  <si>
    <t>Button</t>
  </si>
  <si>
    <t>Label</t>
  </si>
  <si>
    <t>Textbox</t>
  </si>
  <si>
    <t>Menu</t>
  </si>
  <si>
    <t>StartMenu</t>
  </si>
  <si>
    <t>ButtonStartMenuNewGame,ButtonStartMenuSettings,ButtonStartMenuQuit</t>
  </si>
  <si>
    <t>TextBox</t>
  </si>
  <si>
    <t>Components</t>
  </si>
  <si>
    <t>0,1,2</t>
  </si>
  <si>
    <t>Type=ImageBox;Id=0;Name=LogoBig;Position=300,50;Image=LogoBig;ImageId=0;</t>
  </si>
  <si>
    <t>Type=Label;Id=0;Name=LabelHelloWorld;Position=50,250;Text=ButtonStartMenuNewGame;TextId=0;</t>
  </si>
  <si>
    <t>Type=Button;Id=0;Name=ButtonStartMenuNewGame;Position=580,100;Image=Button_120x24;ImageId=1;Text=ButtonStartMenuNewGame;TextId=0;Sound=MouseClick;SoundId=0;</t>
  </si>
  <si>
    <t>Type=Button;Id=1;Name=ButtonStartMenuSettings;Position=580,140;Image=Button_120x24;ImageId=1;Text=ButtonStartMenuSettings;TextId=1;Sound=MouseClick;SoundId=0;</t>
  </si>
  <si>
    <t>Type=Button;Id=2;Name=ButtonStartMenuQuit;Position=580,180;Image=Button_120x24;ImageId=1;Text=ButtonStartMenuQuit;TextId=2;Sound=MouseClick;SoundId=0;</t>
  </si>
  <si>
    <t>Type=Checkbox;Id=0;Name=Checkbox;Position=100,450;Image=Checkbox;ImageId=2;Text=ButtonStartMenuNewGame;TextId=0;</t>
  </si>
  <si>
    <t>Type=RadioButton;Id=0;Name=RadioButton;Position=100,500;Image=RadioButton;ImageId=3;Text=ButtonStartMenuNewGame;TextId=0;Sound=MouseClick;SoundId=0;</t>
  </si>
  <si>
    <t>Type=Textbox;Id=0;Name=Textbox;Position=100,550;Image=Textbox_280x24;ImageId=4;Font=Consola_12;FontId=0;MaximumChars=32;TextColor=0,0,0,255;</t>
  </si>
  <si>
    <t>Type=Menu;Id=0;Name=StartMenu;Position=560,80,160,144;Components=ButtonStartMenuNewGame,ButtonStartMenuSettings,ButtonStartMenuQuit;ComponentIds=0,1,2;</t>
  </si>
  <si>
    <t>StartLine</t>
  </si>
  <si>
    <t>Count</t>
  </si>
  <si>
    <t>Assets/Images/logo_big.png</t>
  </si>
  <si>
    <t>Assets/Images/Terrain/terrain_tiles.png</t>
  </si>
  <si>
    <t>Assets/Images/UI/textbox_280x24.png</t>
  </si>
  <si>
    <t>Assets/Images/UI/radio_button.png</t>
  </si>
  <si>
    <t>Assets/Images/UI/checkbox.png</t>
  </si>
  <si>
    <t>Assets/Images/UI/button_120x24.png</t>
  </si>
  <si>
    <t>Assets/Fonts/Consola.ttf</t>
  </si>
  <si>
    <t>Assets/Fonts/Arial.ttf</t>
  </si>
  <si>
    <t>Assets/Sounds/Clicks/mouse_click.wav</t>
  </si>
  <si>
    <t>Type=Image;Id=0;Name=LogoBig;FileName=Assets/Images/logo_big.png;Frames=1;</t>
  </si>
  <si>
    <t>Type=Image;Id=1;Name=Button_120x24;FileName=Assets/Images/UI/button_120x24.png;Frames=3;</t>
  </si>
  <si>
    <t>Type=Image;Id=2;Name=Checkbox;FileName=Assets/Images/UI/checkbox.png;Frames=2;</t>
  </si>
  <si>
    <t>Type=Image;Id=3;Name=RadioButton;FileName=Assets/Images/UI/radio_button.png;Frames=2;</t>
  </si>
  <si>
    <t>Type=Image;Id=4;Name=Textbox_280x24;FileName=Assets/Images/UI/textbox_280x24.png;Frames=1;</t>
  </si>
  <si>
    <t>Type=Image;Id=5;Name=TerrainTiles;FileName=Assets/Images/Terrain/terrain_tiles.png;Frames=8;</t>
  </si>
  <si>
    <t>Type=Font;Id=0;Name=Consola_12;FileName=Assets/Fonts/Consola.ttf;Size=12;WrapAlign=1;</t>
  </si>
  <si>
    <t>Type=Font;Id=1;Name=Consola_14;FileName=Assets/Fonts/Consola.ttf;Size=14;WrapAlign=1;</t>
  </si>
  <si>
    <t>Type=Font;Id=2;Name=Consola_18;FileName=Assets/Fonts/Consola.ttf;Size=18;WrapAlign=1;</t>
  </si>
  <si>
    <t>Type=Font;Id=3;Name=Arial_12;FileName=Assets/Fonts/Arial.ttf;Size=12;WrapAlign=1;</t>
  </si>
  <si>
    <t>Type=Font;Id=4;Name=Arial_14;FileName=Assets/Fonts/Arial.ttf;Size=14;WrapAlign=1;</t>
  </si>
  <si>
    <t>Type=Font;Id=5;Name=Arial_18;FileName=Assets/Fonts/Arial.ttf;Size=18;WrapAlign=1;</t>
  </si>
  <si>
    <t>Type=Sound;Id=0;Name=MouseClick;FileName=Assets/Sounds/Clicks/mouse_click.wav;Volume=128;</t>
  </si>
  <si>
    <t>StringId</t>
  </si>
  <si>
    <t>StartMenuNewGame</t>
  </si>
  <si>
    <t>StartMenuSettings</t>
  </si>
  <si>
    <t>StartMenuQuit</t>
  </si>
  <si>
    <t>Image=1;String=7;Font=10;Text=16;Sound=19;Music=20;ImageBox=20;Label=21;Button=22;Checkbox=25;RadioButton=26;TextBox=27;Menu=28;</t>
  </si>
  <si>
    <t>Type=String;Id=0;Name=StartMenuNewGame;EN=New game;BG=Нова игра;</t>
  </si>
  <si>
    <t>Type=String;Id=1;Name=StartMenuSettings;EN=Settings;BG=Настройки;</t>
  </si>
  <si>
    <t>Type=String;Id=2;Name=StartMenuQuit;EN=Quit;BG=Изход;</t>
  </si>
  <si>
    <t>Type=Text;Id=0;Name=ButtonStartMenuNewGame;Color=0,0,0,255;String=StartMenuNewGame;StringId=0;Font=Arial_14;FontId=4;WrapWidth=100;</t>
  </si>
  <si>
    <t>Type=Text;Id=1;Name=ButtonStartMenuSettings;Color=0,0,0,255;String=StartMenuSettings;StringId=1;Font=Arial_14;FontId=4;WrapWidth=100;</t>
  </si>
  <si>
    <t>Type=Text;Id=2;Name=ButtonStartMenuQuit;Color=0,0,0,255;String=StartMenuQuit;StringId=2;Font=Arial_14;FontId=4;WrapWidth=100;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</si>
</sst>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/>
    <xf numFmtId="0" fontId="0" fillId="2" borderId="1" xfId="0" applyFill="1" applyBorder="1"/>
    <xf numFmtId="0" fontId="0" fillId="3" borderId="1" xfId="0" applyFill="1" applyBorder="1"/>
    <xf numFmtId="0" fontId="0" fillId="0" borderId="0" xfId="0" applyFill="1"/>
    <xf numFmtId="0" fontId="1" fillId="0" borderId="1" xfId="0" applyFont="1" applyFill="1" applyBorder="1"/>
    <xf numFmtId="0" fontId="0" fillId="0" borderId="1" xfId="0" applyFill="1" applyBorder="1"/>
    <xf numFmtId="3" fontId="0" fillId="0" borderId="4" xfId="0" applyNumberFormat="1" applyFill="1" applyBorder="1"/>
    <xf numFmtId="3" fontId="0" fillId="0" borderId="3" xfId="0" applyNumberFormat="1" applyFill="1" applyBorder="1"/>
    <xf numFmtId="3" fontId="0" fillId="0" borderId="2" xfId="0" applyNumberFormat="1" applyFill="1" applyBorder="1"/>
    <xf numFmtId="3" fontId="0" fillId="0" borderId="1" xfId="0" applyNumberFormat="1" applyFill="1" applyBorder="1"/>
  </cellXfs>
  <cellStyles count="1">
    <cellStyle name="Normal" xfId="0" builtinId="0"/>
  </cellStyles>
  <dxfs count="66"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" formatCode="#,##0"/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  <fill>
        <patternFill patternType="none">
          <fgColor rgb="FF000000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3" formatCode="#,##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</dxf>
    <dxf>
      <numFmt numFmtId="3" formatCode="#,##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ImageIds" displayName="ImageIds" ref="D10:D15" headerRowCount="0" totalsRowShown="0" headerRowDxfId="65" dataDxfId="64" tableBorderDxfId="63">
  <tableColumns count="1">
    <tableColumn id="1" xr3:uid="{00000000-0010-0000-0000-000001000000}" name="Column1" headerRowDxfId="62" dataDxfId="6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CC0C6C-D23F-4B9D-9B86-D9A1A4B21233}" name="StringIds" displayName="StringIds" ref="D10:D12" headerRowCount="0" totalsRowShown="0" headerRowDxfId="3" dataDxfId="2">
  <tableColumns count="1">
    <tableColumn id="1" xr3:uid="{C808D3D7-4F38-401E-A548-467E977012CE}" name="Column1" headerRowDxfId="1" dataDxfId="0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FontIds" displayName="FontIds" ref="D10:D15" headerRowCount="0" totalsRowShown="0" headerRowDxfId="60" dataDxfId="59">
  <tableColumns count="1">
    <tableColumn id="1" xr3:uid="{00000000-0010-0000-0100-000001000000}" name="Column1" headerRowDxfId="58" dataDxfId="57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TextIds" displayName="TextIds" ref="D10:D12" headerRowCount="0" totalsRowShown="0" headerRowDxfId="56" dataDxfId="55">
  <tableColumns count="1">
    <tableColumn id="1" xr3:uid="{00000000-0010-0000-0200-000001000000}" name="Column1" headerRowDxfId="54" dataDxfId="53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3000000}" name="SoundIds" displayName="SoundIds" ref="D10:E10" headerRowCount="0" totalsRowShown="0" headerRowDxfId="52" dataDxfId="51">
  <tableColumns count="2">
    <tableColumn id="1" xr3:uid="{00000000-0010-0000-0300-000001000000}" name="Column1" headerRowDxfId="50" dataDxfId="49"/>
    <tableColumn id="2" xr3:uid="{00000000-0010-0000-0300-000002000000}" name="Column2" headerRowDxfId="48" dataDxfId="47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MusicIds" displayName="MusicIds" ref="D10:E10" headerRowCount="0" totalsRowShown="0" headerRowDxfId="46" dataDxfId="45">
  <tableColumns count="2">
    <tableColumn id="1" xr3:uid="{00000000-0010-0000-0400-000001000000}" name="Column1" headerRowDxfId="44" dataDxfId="43"/>
    <tableColumn id="2" xr3:uid="{00000000-0010-0000-0400-000002000000}" name="Column2" headerRowDxfId="42" dataDxfId="41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ImageBoxIds" displayName="ImageBoxIds" ref="D10" headerRowCount="0" totalsRowShown="0" headerRowDxfId="40" dataDxfId="39">
  <tableColumns count="1">
    <tableColumn id="1" xr3:uid="{00000000-0010-0000-0500-000001000000}" name="Column1" headerRowDxfId="38" dataDxfId="37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LabelIds" displayName="LabelIds" ref="D10" headerRowCount="0" totalsRowShown="0" headerRowDxfId="36" dataDxfId="35">
  <tableColumns count="1">
    <tableColumn id="1" xr3:uid="{00000000-0010-0000-0600-000001000000}" name="Column1" headerRowDxfId="34" dataDxfId="33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7000000}" name="ButtonIds" displayName="ButtonIds" ref="D10:D12" headerRowCount="0" totalsRowShown="0" headerRowDxfId="32" dataDxfId="31">
  <tableColumns count="1">
    <tableColumn id="1" xr3:uid="{00000000-0010-0000-0700-000001000000}" name="Column1" headerRowDxfId="30" dataDxfId="29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8000000}" name="CheckboxIds" displayName="CheckboxIds" ref="D10" headerRowCount="0" totalsRowShown="0" headerRowDxfId="28" dataDxfId="27">
  <tableColumns count="1">
    <tableColumn id="1" xr3:uid="{00000000-0010-0000-0800-000001000000}" name="Column1" headerRowDxfId="26" dataDxfId="25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09000000}" name="RadioButtonIds" displayName="RadioButtonIds" ref="D10" headerRowCount="0" totalsRowShown="0" headerRowDxfId="24" dataDxfId="23">
  <tableColumns count="1">
    <tableColumn id="1" xr3:uid="{00000000-0010-0000-0900-000001000000}" name="Column1" headerRowDxfId="22" dataDxfId="21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0A000000}" name="TextboxIds" displayName="TextboxIds" ref="D10" headerRowCount="0" totalsRowShown="0" headerRowDxfId="20" dataDxfId="19">
  <tableColumns count="1">
    <tableColumn id="1" xr3:uid="{00000000-0010-0000-0A00-000001000000}" name="Column1" headerRowDxfId="18" dataDxfId="17"/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0B000000}" name="MenuIds" displayName="MenuIds" ref="D10:G10" headerRowCount="0" totalsRowShown="0" headerRowDxfId="16" dataDxfId="14" headerRowBorderDxfId="15" tableBorderDxfId="13" totalsRowBorderDxfId="12">
  <tableColumns count="4">
    <tableColumn id="1" xr3:uid="{00000000-0010-0000-0B00-000001000000}" name="Column1" headerRowDxfId="11" dataDxfId="10"/>
    <tableColumn id="2" xr3:uid="{00000000-0010-0000-0B00-000002000000}" name="Column2" headerRowDxfId="9" dataDxfId="8"/>
    <tableColumn id="3" xr3:uid="{00000000-0010-0000-0B00-000003000000}" name="Column3" headerRowDxfId="7" dataDxfId="6"/>
    <tableColumn id="4" xr3:uid="{00000000-0010-0000-0B00-000004000000}" name="Column4" headerRowDxfId="5" dataDxfId="4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">
    <tabColor theme="0" tint="-0.249977111117893"/>
  </sheetPr>
  <dimension ref="A1:A29"/>
  <sheetViews>
    <sheetView tabSelected="1" workbookViewId="0">
      <selection activeCell="I26" sqref="I26"/>
    </sheetView>
  </sheetViews>
  <sheetFormatPr defaultRowHeight="12.75" x14ac:dyDescent="0.2"/>
  <sheetData>
    <row r="1" spans="1:1" x14ac:dyDescent="0.2">
      <c r="A1" t="s">
        <v>110</v>
      </c>
    </row>
    <row r="2" spans="1:1" x14ac:dyDescent="0.2">
      <c r="A2" t="s">
        <v>93</v>
      </c>
    </row>
    <row r="3" spans="1:1" x14ac:dyDescent="0.2">
      <c r="A3" t="s">
        <v>94</v>
      </c>
    </row>
    <row r="4" spans="1:1" x14ac:dyDescent="0.2">
      <c r="A4" t="s">
        <v>95</v>
      </c>
    </row>
    <row r="5" spans="1:1" x14ac:dyDescent="0.2">
      <c r="A5" t="s">
        <v>96</v>
      </c>
    </row>
    <row r="6" spans="1:1" x14ac:dyDescent="0.2">
      <c r="A6" t="s">
        <v>97</v>
      </c>
    </row>
    <row r="7" spans="1:1" x14ac:dyDescent="0.2">
      <c r="A7" t="s">
        <v>98</v>
      </c>
    </row>
    <row r="8" spans="1:1" x14ac:dyDescent="0.2">
      <c r="A8" t="s">
        <v>111</v>
      </c>
    </row>
    <row r="9" spans="1:1" x14ac:dyDescent="0.2">
      <c r="A9" t="s">
        <v>112</v>
      </c>
    </row>
    <row r="10" spans="1:1" x14ac:dyDescent="0.2">
      <c r="A10" t="s">
        <v>113</v>
      </c>
    </row>
    <row r="11" spans="1:1" x14ac:dyDescent="0.2">
      <c r="A11" t="s">
        <v>99</v>
      </c>
    </row>
    <row r="12" spans="1:1" x14ac:dyDescent="0.2">
      <c r="A12" t="s">
        <v>100</v>
      </c>
    </row>
    <row r="13" spans="1:1" x14ac:dyDescent="0.2">
      <c r="A13" t="s">
        <v>101</v>
      </c>
    </row>
    <row r="14" spans="1:1" x14ac:dyDescent="0.2">
      <c r="A14" t="s">
        <v>102</v>
      </c>
    </row>
    <row r="15" spans="1:1" x14ac:dyDescent="0.2">
      <c r="A15" t="s">
        <v>103</v>
      </c>
    </row>
    <row r="16" spans="1:1" x14ac:dyDescent="0.2">
      <c r="A16" t="s">
        <v>104</v>
      </c>
    </row>
    <row r="17" spans="1:1" x14ac:dyDescent="0.2">
      <c r="A17" t="s">
        <v>114</v>
      </c>
    </row>
    <row r="18" spans="1:1" x14ac:dyDescent="0.2">
      <c r="A18" t="s">
        <v>115</v>
      </c>
    </row>
    <row r="19" spans="1:1" x14ac:dyDescent="0.2">
      <c r="A19" t="s">
        <v>116</v>
      </c>
    </row>
    <row r="20" spans="1:1" x14ac:dyDescent="0.2">
      <c r="A20" t="s">
        <v>105</v>
      </c>
    </row>
    <row r="21" spans="1:1" x14ac:dyDescent="0.2">
      <c r="A21" t="s">
        <v>73</v>
      </c>
    </row>
    <row r="22" spans="1:1" x14ac:dyDescent="0.2">
      <c r="A22" t="s">
        <v>74</v>
      </c>
    </row>
    <row r="23" spans="1:1" x14ac:dyDescent="0.2">
      <c r="A23" t="s">
        <v>75</v>
      </c>
    </row>
    <row r="24" spans="1:1" x14ac:dyDescent="0.2">
      <c r="A24" t="s">
        <v>76</v>
      </c>
    </row>
    <row r="25" spans="1:1" x14ac:dyDescent="0.2">
      <c r="A25" t="s">
        <v>77</v>
      </c>
    </row>
    <row r="26" spans="1:1" x14ac:dyDescent="0.2">
      <c r="A26" t="s">
        <v>78</v>
      </c>
    </row>
    <row r="27" spans="1:1" x14ac:dyDescent="0.2">
      <c r="A27" t="s">
        <v>79</v>
      </c>
    </row>
    <row r="28" spans="1:1" x14ac:dyDescent="0.2">
      <c r="A28" t="s">
        <v>80</v>
      </c>
    </row>
    <row r="29" spans="1:1" x14ac:dyDescent="0.2">
      <c r="A29" t="s">
        <v>81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1"/>
  </sheetPr>
  <dimension ref="A1:C15"/>
  <sheetViews>
    <sheetView workbookViewId="0">
      <selection activeCell="A5" sqref="A5"/>
    </sheetView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7</v>
      </c>
      <c r="B1" s="1"/>
      <c r="C1" s="1"/>
    </row>
    <row r="2" spans="1:3" x14ac:dyDescent="0.2">
      <c r="A2" s="1" t="s">
        <v>18</v>
      </c>
      <c r="B2" s="1" t="s">
        <v>82</v>
      </c>
      <c r="C2" s="1" t="s">
        <v>83</v>
      </c>
    </row>
    <row r="3" spans="1:3" x14ac:dyDescent="0.2">
      <c r="A3" s="2" t="s">
        <v>46</v>
      </c>
      <c r="B3" s="2">
        <v>1</v>
      </c>
      <c r="C3" s="2">
        <f ca="1">COUNTIFS(INDIRECT(A3&amp;"!A:A"),TRUE)</f>
        <v>6</v>
      </c>
    </row>
    <row r="4" spans="1:3" x14ac:dyDescent="0.2">
      <c r="A4" s="2" t="s">
        <v>47</v>
      </c>
      <c r="B4" s="2">
        <f ca="1">B3+C3</f>
        <v>7</v>
      </c>
      <c r="C4" s="2">
        <f t="shared" ref="C4:C14" ca="1" si="0">COUNTIFS(INDIRECT(A4&amp;"!A:A"),TRUE)</f>
        <v>3</v>
      </c>
    </row>
    <row r="5" spans="1:3" x14ac:dyDescent="0.2">
      <c r="A5" s="2" t="s">
        <v>49</v>
      </c>
      <c r="B5" s="2">
        <f ca="1">B4+C4</f>
        <v>10</v>
      </c>
      <c r="C5" s="2">
        <f t="shared" ref="C5:C15" ca="1" si="1">COUNTIFS(INDIRECT(A5&amp;"!A:A"),TRUE)</f>
        <v>6</v>
      </c>
    </row>
    <row r="6" spans="1:3" x14ac:dyDescent="0.2">
      <c r="A6" s="2" t="s">
        <v>50</v>
      </c>
      <c r="B6" s="2">
        <f t="shared" ref="B6:B15" ca="1" si="2">B5+C5</f>
        <v>16</v>
      </c>
      <c r="C6" s="2">
        <f t="shared" ca="1" si="1"/>
        <v>3</v>
      </c>
    </row>
    <row r="7" spans="1:3" x14ac:dyDescent="0.2">
      <c r="A7" s="2" t="s">
        <v>51</v>
      </c>
      <c r="B7" s="2">
        <f t="shared" ca="1" si="2"/>
        <v>19</v>
      </c>
      <c r="C7" s="2">
        <f t="shared" ca="1" si="1"/>
        <v>1</v>
      </c>
    </row>
    <row r="8" spans="1:3" x14ac:dyDescent="0.2">
      <c r="A8" s="2" t="s">
        <v>52</v>
      </c>
      <c r="B8" s="2">
        <f t="shared" ca="1" si="2"/>
        <v>20</v>
      </c>
      <c r="C8" s="2">
        <f t="shared" ca="1" si="1"/>
        <v>0</v>
      </c>
    </row>
    <row r="9" spans="1:3" x14ac:dyDescent="0.2">
      <c r="A9" s="3" t="s">
        <v>62</v>
      </c>
      <c r="B9" s="3">
        <f t="shared" ca="1" si="2"/>
        <v>20</v>
      </c>
      <c r="C9" s="3">
        <f t="shared" ca="1" si="1"/>
        <v>1</v>
      </c>
    </row>
    <row r="10" spans="1:3" x14ac:dyDescent="0.2">
      <c r="A10" s="3" t="s">
        <v>65</v>
      </c>
      <c r="B10" s="3">
        <f t="shared" ca="1" si="2"/>
        <v>21</v>
      </c>
      <c r="C10" s="3">
        <f t="shared" ca="1" si="1"/>
        <v>1</v>
      </c>
    </row>
    <row r="11" spans="1:3" x14ac:dyDescent="0.2">
      <c r="A11" s="3" t="s">
        <v>64</v>
      </c>
      <c r="B11" s="3">
        <f t="shared" ca="1" si="2"/>
        <v>22</v>
      </c>
      <c r="C11" s="3">
        <f t="shared" ca="1" si="1"/>
        <v>3</v>
      </c>
    </row>
    <row r="12" spans="1:3" x14ac:dyDescent="0.2">
      <c r="A12" s="3" t="s">
        <v>32</v>
      </c>
      <c r="B12" s="3">
        <f t="shared" ca="1" si="2"/>
        <v>25</v>
      </c>
      <c r="C12" s="3">
        <f t="shared" ca="1" si="1"/>
        <v>1</v>
      </c>
    </row>
    <row r="13" spans="1:3" x14ac:dyDescent="0.2">
      <c r="A13" s="3" t="s">
        <v>33</v>
      </c>
      <c r="B13" s="3">
        <f t="shared" ca="1" si="2"/>
        <v>26</v>
      </c>
      <c r="C13" s="3">
        <f t="shared" ca="1" si="1"/>
        <v>1</v>
      </c>
    </row>
    <row r="14" spans="1:3" x14ac:dyDescent="0.2">
      <c r="A14" s="3" t="s">
        <v>70</v>
      </c>
      <c r="B14" s="3">
        <f t="shared" ca="1" si="2"/>
        <v>27</v>
      </c>
      <c r="C14" s="3">
        <f t="shared" ca="1" si="1"/>
        <v>1</v>
      </c>
    </row>
    <row r="15" spans="1:3" x14ac:dyDescent="0.2">
      <c r="A15" s="3" t="s">
        <v>67</v>
      </c>
      <c r="B15" s="3">
        <f t="shared" ca="1" si="2"/>
        <v>28</v>
      </c>
      <c r="C15" s="3">
        <f t="shared" ca="1" si="1"/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</sheetPr>
  <dimension ref="A1:F15"/>
  <sheetViews>
    <sheetView topLeftCell="A8" workbookViewId="0">
      <selection activeCell="E21" sqref="E21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</row>
    <row r="9" spans="1:6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20</v>
      </c>
      <c r="F9" s="5" t="s">
        <v>21</v>
      </c>
    </row>
    <row r="10" spans="1:6" x14ac:dyDescent="0.2">
      <c r="A10" s="6" t="b">
        <v>1</v>
      </c>
      <c r="B10" s="6" t="s">
        <v>46</v>
      </c>
      <c r="C10" s="6">
        <v>0</v>
      </c>
      <c r="D10" s="7" t="s">
        <v>30</v>
      </c>
      <c r="E10" s="6" t="s">
        <v>84</v>
      </c>
      <c r="F10" s="6">
        <v>1</v>
      </c>
    </row>
    <row r="11" spans="1:6" x14ac:dyDescent="0.2">
      <c r="A11" s="6" t="b">
        <v>1</v>
      </c>
      <c r="B11" s="6" t="s">
        <v>46</v>
      </c>
      <c r="C11" s="6">
        <f>C10+1</f>
        <v>1</v>
      </c>
      <c r="D11" s="8" t="s">
        <v>31</v>
      </c>
      <c r="E11" s="6" t="s">
        <v>89</v>
      </c>
      <c r="F11" s="6">
        <v>3</v>
      </c>
    </row>
    <row r="12" spans="1:6" x14ac:dyDescent="0.2">
      <c r="A12" s="6" t="b">
        <v>1</v>
      </c>
      <c r="B12" s="6" t="s">
        <v>46</v>
      </c>
      <c r="C12" s="6">
        <f t="shared" ref="C12:C15" si="0">C11+1</f>
        <v>2</v>
      </c>
      <c r="D12" s="8" t="s">
        <v>32</v>
      </c>
      <c r="E12" s="6" t="s">
        <v>88</v>
      </c>
      <c r="F12" s="6">
        <v>2</v>
      </c>
    </row>
    <row r="13" spans="1:6" x14ac:dyDescent="0.2">
      <c r="A13" s="6" t="b">
        <v>1</v>
      </c>
      <c r="B13" s="6" t="s">
        <v>46</v>
      </c>
      <c r="C13" s="6">
        <f t="shared" si="0"/>
        <v>3</v>
      </c>
      <c r="D13" s="8" t="s">
        <v>33</v>
      </c>
      <c r="E13" s="6" t="s">
        <v>87</v>
      </c>
      <c r="F13" s="6">
        <v>2</v>
      </c>
    </row>
    <row r="14" spans="1:6" x14ac:dyDescent="0.2">
      <c r="A14" s="6" t="b">
        <v>1</v>
      </c>
      <c r="B14" s="6" t="s">
        <v>46</v>
      </c>
      <c r="C14" s="6">
        <f t="shared" si="0"/>
        <v>4</v>
      </c>
      <c r="D14" s="8" t="s">
        <v>34</v>
      </c>
      <c r="E14" s="6" t="s">
        <v>86</v>
      </c>
      <c r="F14" s="6">
        <v>1</v>
      </c>
    </row>
    <row r="15" spans="1:6" x14ac:dyDescent="0.2">
      <c r="A15" s="6" t="b">
        <v>1</v>
      </c>
      <c r="B15" s="6" t="s">
        <v>46</v>
      </c>
      <c r="C15" s="6">
        <f t="shared" si="0"/>
        <v>5</v>
      </c>
      <c r="D15" s="9" t="s">
        <v>35</v>
      </c>
      <c r="E15" s="6" t="s">
        <v>85</v>
      </c>
      <c r="F15" s="6">
        <v>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D991B-06FF-4954-8B0F-CA2AC0A44865}">
  <sheetPr codeName="Sheet14">
    <tabColor rgb="FF92D050"/>
  </sheetPr>
  <dimension ref="A1:F12"/>
  <sheetViews>
    <sheetView topLeftCell="A8" workbookViewId="0">
      <selection activeCell="D13" sqref="D13"/>
    </sheetView>
  </sheetViews>
  <sheetFormatPr defaultRowHeight="12.75" x14ac:dyDescent="0.2"/>
  <cols>
    <col min="1" max="1" width="9.140625" style="4"/>
    <col min="2" max="3" width="15.7109375" style="4" customWidth="1"/>
    <col min="4" max="6" width="30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47</v>
      </c>
    </row>
    <row r="9" spans="1:6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27</v>
      </c>
      <c r="F9" s="5" t="s">
        <v>28</v>
      </c>
    </row>
    <row r="10" spans="1:6" x14ac:dyDescent="0.2">
      <c r="A10" s="6" t="b">
        <v>1</v>
      </c>
      <c r="B10" s="6" t="s">
        <v>47</v>
      </c>
      <c r="C10" s="6">
        <v>0</v>
      </c>
      <c r="D10" s="10" t="s">
        <v>107</v>
      </c>
      <c r="E10" s="6" t="s">
        <v>8</v>
      </c>
      <c r="F10" s="6" t="s">
        <v>9</v>
      </c>
    </row>
    <row r="11" spans="1:6" x14ac:dyDescent="0.2">
      <c r="A11" s="6" t="b">
        <v>1</v>
      </c>
      <c r="B11" s="6" t="s">
        <v>47</v>
      </c>
      <c r="C11" s="6">
        <f>C10+1</f>
        <v>1</v>
      </c>
      <c r="D11" s="10" t="s">
        <v>108</v>
      </c>
      <c r="E11" s="6" t="s">
        <v>10</v>
      </c>
      <c r="F11" s="6" t="s">
        <v>13</v>
      </c>
    </row>
    <row r="12" spans="1:6" x14ac:dyDescent="0.2">
      <c r="A12" s="6" t="b">
        <v>1</v>
      </c>
      <c r="B12" s="6" t="s">
        <v>47</v>
      </c>
      <c r="C12" s="6">
        <f>C11+1</f>
        <v>2</v>
      </c>
      <c r="D12" s="10" t="s">
        <v>109</v>
      </c>
      <c r="E12" s="6" t="s">
        <v>11</v>
      </c>
      <c r="F12" s="6" t="s">
        <v>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92D050"/>
  </sheetPr>
  <dimension ref="A1:G15"/>
  <sheetViews>
    <sheetView topLeftCell="A8" workbookViewId="0">
      <selection activeCell="D10" sqref="D10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7" width="12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  <c r="G8" s="5" t="s">
        <v>48</v>
      </c>
    </row>
    <row r="9" spans="1:7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20</v>
      </c>
      <c r="F9" s="5" t="s">
        <v>22</v>
      </c>
      <c r="G9" s="5" t="s">
        <v>23</v>
      </c>
    </row>
    <row r="10" spans="1:7" x14ac:dyDescent="0.2">
      <c r="A10" s="6" t="b">
        <v>1</v>
      </c>
      <c r="B10" s="6" t="s">
        <v>49</v>
      </c>
      <c r="C10" s="6">
        <v>0</v>
      </c>
      <c r="D10" s="10" t="s">
        <v>36</v>
      </c>
      <c r="E10" s="6" t="s">
        <v>90</v>
      </c>
      <c r="F10" s="6">
        <v>12</v>
      </c>
      <c r="G10" s="6">
        <v>1</v>
      </c>
    </row>
    <row r="11" spans="1:7" x14ac:dyDescent="0.2">
      <c r="A11" s="6" t="b">
        <v>1</v>
      </c>
      <c r="B11" s="6" t="s">
        <v>49</v>
      </c>
      <c r="C11" s="6">
        <f>C10+1</f>
        <v>1</v>
      </c>
      <c r="D11" s="10" t="s">
        <v>37</v>
      </c>
      <c r="E11" s="6" t="s">
        <v>90</v>
      </c>
      <c r="F11" s="6">
        <v>14</v>
      </c>
      <c r="G11" s="6">
        <v>1</v>
      </c>
    </row>
    <row r="12" spans="1:7" x14ac:dyDescent="0.2">
      <c r="A12" s="6" t="b">
        <v>1</v>
      </c>
      <c r="B12" s="6" t="s">
        <v>49</v>
      </c>
      <c r="C12" s="6">
        <f t="shared" ref="C12:C15" si="0">C11+1</f>
        <v>2</v>
      </c>
      <c r="D12" s="10" t="s">
        <v>38</v>
      </c>
      <c r="E12" s="6" t="s">
        <v>90</v>
      </c>
      <c r="F12" s="6">
        <v>18</v>
      </c>
      <c r="G12" s="6">
        <v>1</v>
      </c>
    </row>
    <row r="13" spans="1:7" x14ac:dyDescent="0.2">
      <c r="A13" s="6" t="b">
        <v>1</v>
      </c>
      <c r="B13" s="6" t="s">
        <v>49</v>
      </c>
      <c r="C13" s="6">
        <f t="shared" si="0"/>
        <v>3</v>
      </c>
      <c r="D13" s="10" t="s">
        <v>39</v>
      </c>
      <c r="E13" s="6" t="s">
        <v>91</v>
      </c>
      <c r="F13" s="6">
        <v>12</v>
      </c>
      <c r="G13" s="6">
        <v>1</v>
      </c>
    </row>
    <row r="14" spans="1:7" x14ac:dyDescent="0.2">
      <c r="A14" s="6" t="b">
        <v>1</v>
      </c>
      <c r="B14" s="6" t="s">
        <v>49</v>
      </c>
      <c r="C14" s="6">
        <f t="shared" si="0"/>
        <v>4</v>
      </c>
      <c r="D14" s="10" t="s">
        <v>40</v>
      </c>
      <c r="E14" s="6" t="s">
        <v>91</v>
      </c>
      <c r="F14" s="6">
        <v>14</v>
      </c>
      <c r="G14" s="6">
        <v>1</v>
      </c>
    </row>
    <row r="15" spans="1:7" x14ac:dyDescent="0.2">
      <c r="A15" s="6" t="b">
        <v>1</v>
      </c>
      <c r="B15" s="6" t="s">
        <v>49</v>
      </c>
      <c r="C15" s="6">
        <f t="shared" si="0"/>
        <v>5</v>
      </c>
      <c r="D15" s="10" t="s">
        <v>41</v>
      </c>
      <c r="E15" s="6" t="s">
        <v>91</v>
      </c>
      <c r="F15" s="6">
        <v>18</v>
      </c>
      <c r="G15" s="6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2D050"/>
  </sheetPr>
  <dimension ref="A1:J12"/>
  <sheetViews>
    <sheetView topLeftCell="A8" workbookViewId="0">
      <selection activeCell="H20" sqref="H20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2.7109375" style="4" customWidth="1"/>
    <col min="6" max="6" width="15.7109375" style="4" customWidth="1"/>
    <col min="7" max="7" width="12.7109375" style="4" customWidth="1"/>
    <col min="8" max="10" width="15.7109375" style="4" customWidth="1"/>
    <col min="11" max="16384" width="9.140625" style="4"/>
  </cols>
  <sheetData>
    <row r="1" spans="1:10" hidden="1" x14ac:dyDescent="0.2"/>
    <row r="2" spans="1:10" hidden="1" x14ac:dyDescent="0.2"/>
    <row r="3" spans="1:10" hidden="1" x14ac:dyDescent="0.2"/>
    <row r="4" spans="1:10" hidden="1" x14ac:dyDescent="0.2"/>
    <row r="5" spans="1:10" hidden="1" x14ac:dyDescent="0.2"/>
    <row r="6" spans="1:10" hidden="1" x14ac:dyDescent="0.2"/>
    <row r="7" spans="1:10" hidden="1" x14ac:dyDescent="0.2"/>
    <row r="8" spans="1:10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  <c r="G8" s="5" t="s">
        <v>48</v>
      </c>
      <c r="H8" s="5" t="s">
        <v>48</v>
      </c>
      <c r="I8" s="5" t="s">
        <v>48</v>
      </c>
      <c r="J8" s="5" t="s">
        <v>48</v>
      </c>
    </row>
    <row r="9" spans="1:10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24</v>
      </c>
      <c r="F9" s="5" t="s">
        <v>47</v>
      </c>
      <c r="G9" s="5" t="s">
        <v>106</v>
      </c>
      <c r="H9" s="5" t="s">
        <v>49</v>
      </c>
      <c r="I9" s="5" t="s">
        <v>25</v>
      </c>
      <c r="J9" s="5" t="s">
        <v>26</v>
      </c>
    </row>
    <row r="10" spans="1:10" x14ac:dyDescent="0.2">
      <c r="A10" s="6" t="b">
        <v>1</v>
      </c>
      <c r="B10" s="6" t="s">
        <v>50</v>
      </c>
      <c r="C10" s="6">
        <v>0</v>
      </c>
      <c r="D10" s="10" t="s">
        <v>42</v>
      </c>
      <c r="E10" s="10" t="s">
        <v>1</v>
      </c>
      <c r="F10" s="6" t="s">
        <v>107</v>
      </c>
      <c r="G10" s="10">
        <f ca="1">INDIRECT(F$9&amp;"!C"&amp;MATCH(F10,INDIRECT(F$9&amp;"!D:D"),0))</f>
        <v>0</v>
      </c>
      <c r="H10" s="6" t="s">
        <v>40</v>
      </c>
      <c r="I10" s="6">
        <f ca="1">INDIRECT(H$9&amp;"!C"&amp;MATCH(H10,INDIRECT(H$9&amp;"!D:D"),0))</f>
        <v>4</v>
      </c>
      <c r="J10" s="6">
        <v>100</v>
      </c>
    </row>
    <row r="11" spans="1:10" x14ac:dyDescent="0.2">
      <c r="A11" s="6" t="b">
        <v>1</v>
      </c>
      <c r="B11" s="6" t="s">
        <v>50</v>
      </c>
      <c r="C11" s="6">
        <f>C10+1</f>
        <v>1</v>
      </c>
      <c r="D11" s="10" t="s">
        <v>44</v>
      </c>
      <c r="E11" s="10" t="s">
        <v>1</v>
      </c>
      <c r="F11" s="6" t="s">
        <v>108</v>
      </c>
      <c r="G11" s="10">
        <f t="shared" ref="G11:G12" ca="1" si="0">INDIRECT(F$9&amp;"!C"&amp;MATCH(F11,INDIRECT(F$9&amp;"!D:D"),0))</f>
        <v>1</v>
      </c>
      <c r="H11" s="6" t="s">
        <v>40</v>
      </c>
      <c r="I11" s="6">
        <f t="shared" ref="I11:I12" ca="1" si="1">INDIRECT(H$9&amp;"!C"&amp;MATCH(H11,INDIRECT(H$9&amp;"!D:D"),0))</f>
        <v>4</v>
      </c>
      <c r="J11" s="6">
        <v>100</v>
      </c>
    </row>
    <row r="12" spans="1:10" x14ac:dyDescent="0.2">
      <c r="A12" s="6" t="b">
        <v>1</v>
      </c>
      <c r="B12" s="6" t="s">
        <v>50</v>
      </c>
      <c r="C12" s="6">
        <f>C11+1</f>
        <v>2</v>
      </c>
      <c r="D12" s="10" t="s">
        <v>43</v>
      </c>
      <c r="E12" s="10" t="s">
        <v>1</v>
      </c>
      <c r="F12" s="6" t="s">
        <v>109</v>
      </c>
      <c r="G12" s="10">
        <f t="shared" ca="1" si="0"/>
        <v>2</v>
      </c>
      <c r="H12" s="6" t="s">
        <v>40</v>
      </c>
      <c r="I12" s="6">
        <f t="shared" ca="1" si="1"/>
        <v>4</v>
      </c>
      <c r="J12" s="6">
        <v>100</v>
      </c>
    </row>
  </sheetData>
  <dataValidations count="2">
    <dataValidation type="list" allowBlank="1" showInputMessage="1" showErrorMessage="1" sqref="H10:H1048576" xr:uid="{00000000-0002-0000-0400-000000000000}">
      <formula1>INDIRECT("FontIds")</formula1>
    </dataValidation>
    <dataValidation type="list" allowBlank="1" showInputMessage="1" showErrorMessage="1" sqref="F1:F7 F10:F1048576" xr:uid="{AB2C45F4-45EC-4C75-954F-8CA87D02D82A}">
      <formula1>INDIRECT("StringIds")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2D050"/>
  </sheetPr>
  <dimension ref="A1:F10"/>
  <sheetViews>
    <sheetView topLeftCell="A8" workbookViewId="0">
      <selection activeCell="E10" sqref="E10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</row>
    <row r="9" spans="1:6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20</v>
      </c>
      <c r="F9" s="5" t="s">
        <v>29</v>
      </c>
    </row>
    <row r="10" spans="1:6" x14ac:dyDescent="0.2">
      <c r="A10" s="6" t="b">
        <v>1</v>
      </c>
      <c r="B10" s="6" t="s">
        <v>51</v>
      </c>
      <c r="C10" s="6">
        <v>0</v>
      </c>
      <c r="D10" s="10" t="s">
        <v>45</v>
      </c>
      <c r="E10" s="10" t="s">
        <v>92</v>
      </c>
      <c r="F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2D050"/>
  </sheetPr>
  <dimension ref="A1:F10"/>
  <sheetViews>
    <sheetView topLeftCell="A8" workbookViewId="0">
      <selection activeCell="E15" sqref="E15"/>
    </sheetView>
  </sheetViews>
  <sheetFormatPr defaultRowHeight="12.75" x14ac:dyDescent="0.2"/>
  <cols>
    <col min="1" max="1" width="9.140625" style="4"/>
    <col min="2" max="3" width="15.7109375" style="4" customWidth="1"/>
    <col min="4" max="5" width="30.7109375" style="4" customWidth="1"/>
    <col min="6" max="6" width="12.7109375" style="4" customWidth="1"/>
    <col min="7" max="16384" width="9.140625" style="4"/>
  </cols>
  <sheetData>
    <row r="1" spans="1:6" hidden="1" x14ac:dyDescent="0.2"/>
    <row r="2" spans="1:6" hidden="1" x14ac:dyDescent="0.2"/>
    <row r="3" spans="1:6" hidden="1" x14ac:dyDescent="0.2"/>
    <row r="4" spans="1:6" hidden="1" x14ac:dyDescent="0.2"/>
    <row r="5" spans="1:6" hidden="1" x14ac:dyDescent="0.2"/>
    <row r="6" spans="1:6" hidden="1" x14ac:dyDescent="0.2"/>
    <row r="7" spans="1:6" hidden="1" x14ac:dyDescent="0.2"/>
    <row r="8" spans="1:6" x14ac:dyDescent="0.2">
      <c r="A8" s="5"/>
      <c r="B8" s="5" t="s">
        <v>47</v>
      </c>
      <c r="C8" s="5" t="s">
        <v>48</v>
      </c>
      <c r="D8" s="5" t="s">
        <v>47</v>
      </c>
      <c r="E8" s="5" t="s">
        <v>47</v>
      </c>
      <c r="F8" s="5" t="s">
        <v>48</v>
      </c>
    </row>
    <row r="9" spans="1:6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20</v>
      </c>
      <c r="F9" s="5" t="s">
        <v>29</v>
      </c>
    </row>
    <row r="10" spans="1:6" x14ac:dyDescent="0.2">
      <c r="A10" s="6"/>
      <c r="B10" s="6" t="s">
        <v>52</v>
      </c>
      <c r="C10" s="6">
        <v>0</v>
      </c>
      <c r="D10" s="10" t="s">
        <v>45</v>
      </c>
      <c r="E10" s="10" t="s">
        <v>92</v>
      </c>
      <c r="F10" s="6">
        <v>128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00B050"/>
  </sheetPr>
  <dimension ref="A1:G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</row>
    <row r="9" spans="1:7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</row>
    <row r="10" spans="1:7" x14ac:dyDescent="0.2">
      <c r="A10" s="6" t="b">
        <v>1</v>
      </c>
      <c r="B10" s="6" t="s">
        <v>62</v>
      </c>
      <c r="C10" s="6">
        <v>0</v>
      </c>
      <c r="D10" s="10" t="s">
        <v>30</v>
      </c>
      <c r="E10" s="10" t="s">
        <v>5</v>
      </c>
      <c r="F10" s="6" t="s">
        <v>30</v>
      </c>
      <c r="G10" s="6">
        <f ca="1">INDIRECT(F$9&amp;"!C"&amp;MATCH(F10,INDIRECT(F$9&amp;"!D:D"),0))</f>
        <v>0</v>
      </c>
    </row>
  </sheetData>
  <dataValidations count="1">
    <dataValidation type="list" allowBlank="1" showInputMessage="1" showErrorMessage="1" sqref="F10:F1048576" xr:uid="{00000000-0002-0000-0700-000000000000}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00B050"/>
  </sheetPr>
  <dimension ref="A1:G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</row>
    <row r="9" spans="1:7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50</v>
      </c>
      <c r="G9" s="5" t="s">
        <v>56</v>
      </c>
    </row>
    <row r="10" spans="1:7" x14ac:dyDescent="0.2">
      <c r="A10" s="6" t="b">
        <v>1</v>
      </c>
      <c r="B10" s="6" t="s">
        <v>65</v>
      </c>
      <c r="C10" s="6">
        <v>0</v>
      </c>
      <c r="D10" s="10" t="s">
        <v>63</v>
      </c>
      <c r="E10" s="10" t="s">
        <v>6</v>
      </c>
      <c r="F10" s="6" t="s">
        <v>42</v>
      </c>
      <c r="G10" s="6">
        <f ca="1">INDIRECT(F$9&amp;"!C"&amp;MATCH(F10,INDIRECT(F$9&amp;"!D:D"),0))</f>
        <v>0</v>
      </c>
    </row>
  </sheetData>
  <dataValidations count="1">
    <dataValidation type="list" allowBlank="1" showInputMessage="1" showErrorMessage="1" sqref="F10:F1048576" xr:uid="{00000000-0002-0000-0800-000000000000}">
      <formula1>INDIRECT("TextIds")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00B050"/>
  </sheetPr>
  <dimension ref="A1:K12"/>
  <sheetViews>
    <sheetView topLeftCell="A8" zoomScaleNormal="100" workbookViewId="0">
      <selection activeCell="D13" sqref="D13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8" width="24.7109375" style="4" customWidth="1"/>
    <col min="9" max="9" width="15.7109375" style="4" customWidth="1"/>
    <col min="10" max="10" width="24.7109375" style="4" customWidth="1"/>
    <col min="11" max="11" width="15.7109375" style="4" customWidth="1"/>
    <col min="12" max="16384" width="9.140625" style="4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  <c r="H8" s="5" t="s">
        <v>48</v>
      </c>
      <c r="I8" s="5" t="s">
        <v>48</v>
      </c>
      <c r="J8" s="5" t="s">
        <v>48</v>
      </c>
      <c r="K8" s="5" t="s">
        <v>48</v>
      </c>
    </row>
    <row r="9" spans="1:11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  <c r="H9" s="5" t="s">
        <v>50</v>
      </c>
      <c r="I9" s="5" t="s">
        <v>56</v>
      </c>
      <c r="J9" s="5" t="s">
        <v>51</v>
      </c>
      <c r="K9" s="5" t="s">
        <v>57</v>
      </c>
    </row>
    <row r="10" spans="1:11" x14ac:dyDescent="0.2">
      <c r="A10" s="6" t="b">
        <v>1</v>
      </c>
      <c r="B10" s="6" t="s">
        <v>64</v>
      </c>
      <c r="C10" s="6">
        <v>0</v>
      </c>
      <c r="D10" s="10" t="s">
        <v>42</v>
      </c>
      <c r="E10" s="10" t="s">
        <v>14</v>
      </c>
      <c r="F10" s="6" t="s">
        <v>31</v>
      </c>
      <c r="G10" s="6">
        <f ca="1">INDIRECT(F$9&amp;"!C"&amp;MATCH(F10,INDIRECT(F$9&amp;"!D:D"),0))</f>
        <v>1</v>
      </c>
      <c r="H10" s="6" t="s">
        <v>42</v>
      </c>
      <c r="I10" s="6">
        <f ca="1">INDIRECT(H$9&amp;"!C"&amp;MATCH(H10,INDIRECT(H$9&amp;"!D:D"),0))</f>
        <v>0</v>
      </c>
      <c r="J10" s="6" t="s">
        <v>45</v>
      </c>
      <c r="K10" s="6">
        <f ca="1">INDIRECT(J$9&amp;"!C"&amp;MATCH(J10,INDIRECT(J$9&amp;"!D:D"),0))</f>
        <v>0</v>
      </c>
    </row>
    <row r="11" spans="1:11" x14ac:dyDescent="0.2">
      <c r="A11" s="6" t="b">
        <v>1</v>
      </c>
      <c r="B11" s="6" t="s">
        <v>64</v>
      </c>
      <c r="C11" s="6">
        <f>C10+1</f>
        <v>1</v>
      </c>
      <c r="D11" s="10" t="s">
        <v>44</v>
      </c>
      <c r="E11" s="10" t="s">
        <v>15</v>
      </c>
      <c r="F11" s="6" t="s">
        <v>31</v>
      </c>
      <c r="G11" s="6">
        <f t="shared" ref="G11:I12" ca="1" si="0">INDIRECT(F$9&amp;"!C"&amp;MATCH(F11,INDIRECT(F$9&amp;"!D:D"),0))</f>
        <v>1</v>
      </c>
      <c r="H11" s="6" t="s">
        <v>44</v>
      </c>
      <c r="I11" s="6">
        <f t="shared" ca="1" si="0"/>
        <v>1</v>
      </c>
      <c r="J11" s="6" t="s">
        <v>45</v>
      </c>
      <c r="K11" s="6">
        <f t="shared" ref="K11" ca="1" si="1">INDIRECT(J$9&amp;"!C"&amp;MATCH(J11,INDIRECT(J$9&amp;"!D:D"),0))</f>
        <v>0</v>
      </c>
    </row>
    <row r="12" spans="1:11" x14ac:dyDescent="0.2">
      <c r="A12" s="6" t="b">
        <v>1</v>
      </c>
      <c r="B12" s="6" t="s">
        <v>64</v>
      </c>
      <c r="C12" s="6">
        <f>C11+1</f>
        <v>2</v>
      </c>
      <c r="D12" s="10" t="s">
        <v>43</v>
      </c>
      <c r="E12" s="10" t="s">
        <v>16</v>
      </c>
      <c r="F12" s="6" t="s">
        <v>31</v>
      </c>
      <c r="G12" s="6">
        <f t="shared" ca="1" si="0"/>
        <v>1</v>
      </c>
      <c r="H12" s="6" t="s">
        <v>43</v>
      </c>
      <c r="I12" s="6">
        <f t="shared" ca="1" si="0"/>
        <v>2</v>
      </c>
      <c r="J12" s="6" t="s">
        <v>45</v>
      </c>
      <c r="K12" s="6">
        <f t="shared" ref="K12" ca="1" si="2">INDIRECT(J$9&amp;"!C"&amp;MATCH(J12,INDIRECT(J$9&amp;"!D:D"),0))</f>
        <v>0</v>
      </c>
    </row>
  </sheetData>
  <dataValidations count="3">
    <dataValidation type="list" allowBlank="1" showInputMessage="1" showErrorMessage="1" sqref="J10:J1048576" xr:uid="{00000000-0002-0000-0900-000000000000}">
      <formula1>INDIRECT("SoundIds")</formula1>
    </dataValidation>
    <dataValidation type="list" allowBlank="1" showInputMessage="1" showErrorMessage="1" sqref="H10:H1048576" xr:uid="{00000000-0002-0000-0900-000001000000}">
      <formula1>INDIRECT("TextIds")</formula1>
    </dataValidation>
    <dataValidation type="list" allowBlank="1" showInputMessage="1" showErrorMessage="1" sqref="F10:F1048576" xr:uid="{00000000-0002-0000-0900-000002000000}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00B050"/>
  </sheetPr>
  <dimension ref="A1:I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8" width="24.7109375" style="4" customWidth="1"/>
    <col min="9" max="9" width="15.7109375" style="4" customWidth="1"/>
    <col min="10" max="16384" width="9.140625" style="4"/>
  </cols>
  <sheetData>
    <row r="1" spans="1:9" hidden="1" x14ac:dyDescent="0.2"/>
    <row r="2" spans="1:9" hidden="1" x14ac:dyDescent="0.2"/>
    <row r="3" spans="1:9" hidden="1" x14ac:dyDescent="0.2"/>
    <row r="4" spans="1:9" hidden="1" x14ac:dyDescent="0.2"/>
    <row r="5" spans="1:9" hidden="1" x14ac:dyDescent="0.2"/>
    <row r="6" spans="1:9" hidden="1" x14ac:dyDescent="0.2"/>
    <row r="7" spans="1:9" hidden="1" x14ac:dyDescent="0.2"/>
    <row r="8" spans="1:9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  <c r="H8" s="5" t="s">
        <v>48</v>
      </c>
      <c r="I8" s="5" t="s">
        <v>48</v>
      </c>
    </row>
    <row r="9" spans="1:9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  <c r="H9" s="5" t="s">
        <v>50</v>
      </c>
      <c r="I9" s="5" t="s">
        <v>56</v>
      </c>
    </row>
    <row r="10" spans="1:9" x14ac:dyDescent="0.2">
      <c r="A10" s="6" t="b">
        <v>1</v>
      </c>
      <c r="B10" s="6" t="s">
        <v>32</v>
      </c>
      <c r="C10" s="6">
        <v>0</v>
      </c>
      <c r="D10" s="10" t="s">
        <v>32</v>
      </c>
      <c r="E10" s="6" t="s">
        <v>2</v>
      </c>
      <c r="F10" s="6" t="s">
        <v>32</v>
      </c>
      <c r="G10" s="6">
        <f ca="1">INDIRECT(F$9&amp;"!C"&amp;MATCH(F10,INDIRECT(F$9&amp;"!D:D"),0))</f>
        <v>2</v>
      </c>
      <c r="H10" s="6" t="s">
        <v>42</v>
      </c>
      <c r="I10" s="6">
        <f ca="1">INDIRECT(H$9&amp;"!C"&amp;MATCH(H10,INDIRECT(H$9&amp;"!D:D"),0))</f>
        <v>0</v>
      </c>
    </row>
  </sheetData>
  <dataValidations count="2">
    <dataValidation type="list" allowBlank="1" showInputMessage="1" showErrorMessage="1" sqref="F10:F1048576" xr:uid="{00000000-0002-0000-0A00-000000000000}">
      <formula1>INDIRECT("ImageIds")</formula1>
    </dataValidation>
    <dataValidation type="list" allowBlank="1" showInputMessage="1" showErrorMessage="1" sqref="H10:H1048576" xr:uid="{00000000-0002-0000-0A00-000001000000}">
      <formula1>INDIRECT("TextIds")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rgb="FF00B050"/>
  </sheetPr>
  <dimension ref="A1:K10"/>
  <sheetViews>
    <sheetView topLeftCell="A8" zoomScaleNormal="100" workbookViewId="0">
      <selection activeCell="G8" sqref="G1:G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7" width="15.7109375" style="4" customWidth="1"/>
    <col min="8" max="8" width="24.7109375" style="4" customWidth="1"/>
    <col min="9" max="9" width="15.7109375" style="4" customWidth="1"/>
    <col min="10" max="10" width="24.7109375" style="4" customWidth="1"/>
    <col min="11" max="11" width="15.7109375" style="4" customWidth="1"/>
    <col min="12" max="16384" width="9.140625" style="4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  <c r="H8" s="5" t="s">
        <v>48</v>
      </c>
      <c r="I8" s="5" t="s">
        <v>48</v>
      </c>
      <c r="J8" s="5" t="s">
        <v>48</v>
      </c>
      <c r="K8" s="5" t="s">
        <v>48</v>
      </c>
    </row>
    <row r="9" spans="1:11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  <c r="H9" s="5" t="s">
        <v>50</v>
      </c>
      <c r="I9" s="5" t="s">
        <v>56</v>
      </c>
      <c r="J9" s="5" t="s">
        <v>51</v>
      </c>
      <c r="K9" s="5" t="s">
        <v>57</v>
      </c>
    </row>
    <row r="10" spans="1:11" x14ac:dyDescent="0.2">
      <c r="A10" s="6" t="b">
        <v>1</v>
      </c>
      <c r="B10" s="6" t="s">
        <v>33</v>
      </c>
      <c r="C10" s="6">
        <v>0</v>
      </c>
      <c r="D10" s="10" t="s">
        <v>33</v>
      </c>
      <c r="E10" s="6" t="s">
        <v>3</v>
      </c>
      <c r="F10" s="6" t="s">
        <v>33</v>
      </c>
      <c r="G10" s="6">
        <f ca="1">INDIRECT(F$9&amp;"!C"&amp;MATCH(F10,INDIRECT(F$9&amp;"!D:D"),0))</f>
        <v>3</v>
      </c>
      <c r="H10" s="6" t="s">
        <v>42</v>
      </c>
      <c r="I10" s="6">
        <f ca="1">INDIRECT(H$9&amp;"!C"&amp;MATCH(H10,INDIRECT(H$9&amp;"!D:D"),0))</f>
        <v>0</v>
      </c>
      <c r="J10" s="6" t="s">
        <v>45</v>
      </c>
      <c r="K10" s="6">
        <f ca="1">INDIRECT(J$9&amp;"!C"&amp;MATCH(J10,INDIRECT(J$9&amp;"!D:D"),0))</f>
        <v>0</v>
      </c>
    </row>
  </sheetData>
  <dataValidations count="3">
    <dataValidation type="list" allowBlank="1" showInputMessage="1" showErrorMessage="1" sqref="F10:F1048576" xr:uid="{00000000-0002-0000-0B00-000000000000}">
      <formula1>INDIRECT("ImageIds")</formula1>
    </dataValidation>
    <dataValidation type="list" allowBlank="1" showInputMessage="1" showErrorMessage="1" sqref="H10:H1048576" xr:uid="{00000000-0002-0000-0B00-000001000000}">
      <formula1>INDIRECT("TextIds")</formula1>
    </dataValidation>
    <dataValidation type="list" allowBlank="1" showInputMessage="1" showErrorMessage="1" sqref="J10:J1048576" xr:uid="{00000000-0002-0000-0B00-000002000000}">
      <formula1>INDIRECT("SoundIds")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00B050"/>
  </sheetPr>
  <dimension ref="A1:K10"/>
  <sheetViews>
    <sheetView topLeftCell="A8" zoomScaleNormal="100" workbookViewId="0">
      <selection activeCell="I8" sqref="I1:I1048576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24.7109375" style="4" customWidth="1"/>
    <col min="7" max="10" width="15.7109375" style="4" customWidth="1"/>
    <col min="11" max="11" width="30.7109375" style="4" customWidth="1"/>
    <col min="12" max="16384" width="9.140625" style="4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48</v>
      </c>
      <c r="G8" s="5" t="s">
        <v>48</v>
      </c>
      <c r="H8" s="5" t="s">
        <v>48</v>
      </c>
      <c r="I8" s="5" t="s">
        <v>48</v>
      </c>
      <c r="J8" s="5" t="s">
        <v>48</v>
      </c>
      <c r="K8" s="5" t="s">
        <v>53</v>
      </c>
    </row>
    <row r="9" spans="1:11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46</v>
      </c>
      <c r="G9" s="5" t="s">
        <v>55</v>
      </c>
      <c r="H9" s="5" t="s">
        <v>49</v>
      </c>
      <c r="I9" s="5" t="s">
        <v>25</v>
      </c>
      <c r="J9" s="5" t="s">
        <v>58</v>
      </c>
      <c r="K9" s="5" t="s">
        <v>59</v>
      </c>
    </row>
    <row r="10" spans="1:11" x14ac:dyDescent="0.2">
      <c r="A10" s="6" t="b">
        <v>1</v>
      </c>
      <c r="B10" s="6" t="s">
        <v>66</v>
      </c>
      <c r="C10" s="6">
        <v>0</v>
      </c>
      <c r="D10" s="10" t="s">
        <v>66</v>
      </c>
      <c r="E10" s="6" t="s">
        <v>4</v>
      </c>
      <c r="F10" s="6" t="s">
        <v>34</v>
      </c>
      <c r="G10" s="6">
        <f ca="1">INDIRECT(F$9&amp;"!C"&amp;MATCH(F10,INDIRECT(F$9&amp;"!D:D"),0))</f>
        <v>4</v>
      </c>
      <c r="H10" s="6" t="s">
        <v>36</v>
      </c>
      <c r="I10" s="6">
        <f ca="1">INDIRECT(H$9&amp;"!C"&amp;MATCH(H10,INDIRECT(H$9&amp;"!D:D"),0))</f>
        <v>0</v>
      </c>
      <c r="J10" s="6">
        <v>32</v>
      </c>
      <c r="K10" s="6" t="s">
        <v>1</v>
      </c>
    </row>
  </sheetData>
  <dataValidations count="2">
    <dataValidation type="list" allowBlank="1" showInputMessage="1" showErrorMessage="1" sqref="H10:H1048576" xr:uid="{00000000-0002-0000-0C00-000000000000}">
      <formula1>INDIRECT("FontIds")</formula1>
    </dataValidation>
    <dataValidation type="list" allowBlank="1" showInputMessage="1" showErrorMessage="1" sqref="F10:F1048576" xr:uid="{00000000-0002-0000-0C00-000001000000}">
      <formula1>INDIRECT("ImageIds")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00B050"/>
  </sheetPr>
  <dimension ref="A1:G10"/>
  <sheetViews>
    <sheetView topLeftCell="A8" zoomScaleNormal="100" workbookViewId="0">
      <selection activeCell="G11" sqref="G11"/>
    </sheetView>
  </sheetViews>
  <sheetFormatPr defaultRowHeight="12.75" x14ac:dyDescent="0.2"/>
  <cols>
    <col min="1" max="1" width="9.140625" style="4"/>
    <col min="2" max="3" width="15.7109375" style="4" customWidth="1"/>
    <col min="4" max="4" width="30.7109375" style="4" customWidth="1"/>
    <col min="5" max="5" width="15.7109375" style="4" customWidth="1"/>
    <col min="6" max="6" width="30.7109375" style="4" customWidth="1"/>
    <col min="7" max="7" width="15.7109375" style="4" customWidth="1"/>
    <col min="8" max="16384" width="9.140625" style="4"/>
  </cols>
  <sheetData>
    <row r="1" spans="1:7" hidden="1" x14ac:dyDescent="0.2"/>
    <row r="2" spans="1:7" hidden="1" x14ac:dyDescent="0.2"/>
    <row r="3" spans="1:7" hidden="1" x14ac:dyDescent="0.2"/>
    <row r="4" spans="1:7" hidden="1" x14ac:dyDescent="0.2"/>
    <row r="5" spans="1:7" hidden="1" x14ac:dyDescent="0.2"/>
    <row r="6" spans="1:7" hidden="1" x14ac:dyDescent="0.2"/>
    <row r="7" spans="1:7" hidden="1" x14ac:dyDescent="0.2"/>
    <row r="8" spans="1:7" x14ac:dyDescent="0.2">
      <c r="A8" s="5"/>
      <c r="B8" s="5" t="s">
        <v>47</v>
      </c>
      <c r="C8" s="5" t="s">
        <v>48</v>
      </c>
      <c r="D8" s="5" t="s">
        <v>47</v>
      </c>
      <c r="E8" s="5" t="s">
        <v>53</v>
      </c>
      <c r="F8" s="5" t="s">
        <v>53</v>
      </c>
      <c r="G8" s="5" t="s">
        <v>48</v>
      </c>
    </row>
    <row r="9" spans="1:7" x14ac:dyDescent="0.2">
      <c r="A9" s="5" t="s">
        <v>0</v>
      </c>
      <c r="B9" s="5" t="s">
        <v>18</v>
      </c>
      <c r="C9" s="5" t="s">
        <v>61</v>
      </c>
      <c r="D9" s="5" t="s">
        <v>19</v>
      </c>
      <c r="E9" s="5" t="s">
        <v>54</v>
      </c>
      <c r="F9" s="5" t="s">
        <v>71</v>
      </c>
      <c r="G9" s="5" t="s">
        <v>60</v>
      </c>
    </row>
    <row r="10" spans="1:7" x14ac:dyDescent="0.2">
      <c r="A10" s="6" t="b">
        <v>1</v>
      </c>
      <c r="B10" s="6" t="s">
        <v>67</v>
      </c>
      <c r="C10" s="6">
        <v>0</v>
      </c>
      <c r="D10" s="10" t="s">
        <v>68</v>
      </c>
      <c r="E10" s="10" t="s">
        <v>17</v>
      </c>
      <c r="F10" s="10" t="s">
        <v>69</v>
      </c>
      <c r="G10" s="10" t="s">
        <v>72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EXPORT</vt:lpstr>
      <vt:lpstr>DESC</vt:lpstr>
      <vt:lpstr>Image</vt:lpstr>
      <vt:lpstr>String</vt:lpstr>
      <vt:lpstr>Font</vt:lpstr>
      <vt:lpstr>Text</vt:lpstr>
      <vt:lpstr>Sound</vt:lpstr>
      <vt:lpstr>Music</vt:lpstr>
      <vt:lpstr>ImageBox</vt:lpstr>
      <vt:lpstr>Label</vt:lpstr>
      <vt:lpstr>Button</vt:lpstr>
      <vt:lpstr>Checkbox</vt:lpstr>
      <vt:lpstr>RadioButton</vt:lpstr>
      <vt:lpstr>Textbox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Damyanov, Damyan</cp:lastModifiedBy>
  <dcterms:created xsi:type="dcterms:W3CDTF">2023-03-26T12:56:31Z</dcterms:created>
  <dcterms:modified xsi:type="dcterms:W3CDTF">2025-03-21T14:24:50Z</dcterms:modified>
</cp:coreProperties>
</file>