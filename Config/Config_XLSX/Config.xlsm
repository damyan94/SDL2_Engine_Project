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sitories\SDL2_Engine_Project\Config\Config_XLSX\"/>
    </mc:Choice>
  </mc:AlternateContent>
  <bookViews>
    <workbookView xWindow="0" yWindow="0" windowWidth="28800" windowHeight="11700" tabRatio="748"/>
  </bookViews>
  <sheets>
    <sheet name="DESC" sheetId="1" r:id="rId1"/>
    <sheet name="Image" sheetId="2" r:id="rId2"/>
    <sheet name="String" sheetId="21" r:id="rId3"/>
    <sheet name="Font" sheetId="11" r:id="rId4"/>
    <sheet name="Text" sheetId="12" r:id="rId5"/>
    <sheet name="Sound" sheetId="13" r:id="rId6"/>
    <sheet name="Music" sheetId="14" r:id="rId7"/>
    <sheet name="ImageBox" sheetId="10" r:id="rId8"/>
    <sheet name="Label" sheetId="15" r:id="rId9"/>
    <sheet name="Button" sheetId="16" r:id="rId10"/>
    <sheet name="Checkbox" sheetId="17" r:id="rId11"/>
    <sheet name="RadioButton" sheetId="18" r:id="rId12"/>
    <sheet name="Textbox" sheetId="19" r:id="rId13"/>
    <sheet name="Menu" sheetId="20" r:id="rId1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15" l="1"/>
  <c r="B11" i="20"/>
  <c r="B13" i="12"/>
  <c r="B14" i="12"/>
  <c r="B12" i="12"/>
  <c r="B12" i="21"/>
  <c r="B13" i="21"/>
  <c r="B14" i="21"/>
  <c r="J11" i="20"/>
  <c r="H13" i="12"/>
  <c r="H12" i="12"/>
  <c r="F13" i="12"/>
  <c r="M10" i="20"/>
  <c r="G10" i="20"/>
  <c r="F11" i="15"/>
  <c r="F12" i="12"/>
  <c r="J10" i="20"/>
  <c r="G11" i="20"/>
  <c r="B11" i="21" l="1"/>
  <c r="B11" i="16"/>
  <c r="B12" i="16" s="1"/>
  <c r="B11" i="12"/>
  <c r="B11" i="11"/>
  <c r="B12" i="11" s="1"/>
  <c r="B13" i="11" s="1"/>
  <c r="B14" i="11" s="1"/>
  <c r="B15" i="11" s="1"/>
  <c r="B11" i="2"/>
  <c r="B12" i="2" s="1"/>
  <c r="B13" i="2" s="1"/>
  <c r="B14" i="2" s="1"/>
  <c r="B15" i="2" s="1"/>
  <c r="H10" i="12"/>
  <c r="F11" i="16"/>
  <c r="C3" i="1"/>
  <c r="C13" i="1"/>
  <c r="C12" i="1"/>
  <c r="H10" i="19"/>
  <c r="C7" i="1"/>
  <c r="F11" i="12"/>
  <c r="C5" i="1"/>
  <c r="H11" i="16"/>
  <c r="C6" i="1"/>
  <c r="C8" i="1"/>
  <c r="H14" i="12"/>
  <c r="C4" i="1"/>
  <c r="J12" i="16"/>
  <c r="H10" i="16"/>
  <c r="J10" i="18"/>
  <c r="J10" i="16"/>
  <c r="C15" i="1"/>
  <c r="F12" i="16"/>
  <c r="C9" i="1"/>
  <c r="J11" i="16"/>
  <c r="F10" i="17"/>
  <c r="F10" i="10"/>
  <c r="H10" i="18"/>
  <c r="C14" i="1"/>
  <c r="F14" i="12"/>
  <c r="F10" i="18"/>
  <c r="C11" i="1"/>
  <c r="F10" i="19"/>
  <c r="F10" i="15"/>
  <c r="F10" i="16"/>
  <c r="C10" i="1"/>
  <c r="H11" i="12"/>
  <c r="H10" i="17"/>
  <c r="F10" i="12"/>
  <c r="H12" i="16"/>
  <c r="B4" i="1" l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</calcChain>
</file>

<file path=xl/sharedStrings.xml><?xml version="1.0" encoding="utf-8"?>
<sst xmlns="http://schemas.openxmlformats.org/spreadsheetml/2006/main" count="315" uniqueCount="105">
  <si>
    <t>Export?</t>
  </si>
  <si>
    <t>0,0,0,255</t>
  </si>
  <si>
    <t>100,450</t>
  </si>
  <si>
    <t>100,500</t>
  </si>
  <si>
    <t>100,550</t>
  </si>
  <si>
    <t>300,50</t>
  </si>
  <si>
    <t>Assets &amp; objects lookup data</t>
  </si>
  <si>
    <t>New game</t>
  </si>
  <si>
    <t>Нова игра</t>
  </si>
  <si>
    <t>Settings</t>
  </si>
  <si>
    <t>Quit</t>
  </si>
  <si>
    <t>Изход</t>
  </si>
  <si>
    <t>Настройки</t>
  </si>
  <si>
    <t>580,100</t>
  </si>
  <si>
    <t>580,140</t>
  </si>
  <si>
    <t>580,180</t>
  </si>
  <si>
    <t>560,80,160,144</t>
  </si>
  <si>
    <t>Type</t>
  </si>
  <si>
    <t>Name</t>
  </si>
  <si>
    <t>FileName</t>
  </si>
  <si>
    <t>Frames</t>
  </si>
  <si>
    <t>Size</t>
  </si>
  <si>
    <t>WrapAlign</t>
  </si>
  <si>
    <t>Color</t>
  </si>
  <si>
    <t>FontId</t>
  </si>
  <si>
    <t>WrapWidth</t>
  </si>
  <si>
    <t>EN</t>
  </si>
  <si>
    <t>BG</t>
  </si>
  <si>
    <t>Volume</t>
  </si>
  <si>
    <t>LogoBig</t>
  </si>
  <si>
    <t>Button_120x24</t>
  </si>
  <si>
    <t>Checkbox</t>
  </si>
  <si>
    <t>RadioButton</t>
  </si>
  <si>
    <t>Textbox_280x24</t>
  </si>
  <si>
    <t>TerrainTiles</t>
  </si>
  <si>
    <t>Consola_12</t>
  </si>
  <si>
    <t>Consola_14</t>
  </si>
  <si>
    <t>Consola_18</t>
  </si>
  <si>
    <t>Arial_12</t>
  </si>
  <si>
    <t>Arial_14</t>
  </si>
  <si>
    <t>Arial_18</t>
  </si>
  <si>
    <t>ButtonStartMenuNewGame</t>
  </si>
  <si>
    <t>ButtonStartMenuQuit</t>
  </si>
  <si>
    <t>ButtonStartMenuSettings</t>
  </si>
  <si>
    <t>MouseClick</t>
  </si>
  <si>
    <t>Image</t>
  </si>
  <si>
    <t>String</t>
  </si>
  <si>
    <t>Int</t>
  </si>
  <si>
    <t>Font</t>
  </si>
  <si>
    <t>Text</t>
  </si>
  <si>
    <t>Sound</t>
  </si>
  <si>
    <t>Music</t>
  </si>
  <si>
    <t>IntArray</t>
  </si>
  <si>
    <t>Position</t>
  </si>
  <si>
    <t>ImageId</t>
  </si>
  <si>
    <t>TextId</t>
  </si>
  <si>
    <t>SoundId</t>
  </si>
  <si>
    <t>MaximumChars</t>
  </si>
  <si>
    <t>TextColor</t>
  </si>
  <si>
    <t>Id</t>
  </si>
  <si>
    <t>ImageBox</t>
  </si>
  <si>
    <t>Button</t>
  </si>
  <si>
    <t>Label</t>
  </si>
  <si>
    <t>Textbox</t>
  </si>
  <si>
    <t>Menu</t>
  </si>
  <si>
    <t>StartMenu</t>
  </si>
  <si>
    <t>TextBox</t>
  </si>
  <si>
    <t>StartLine</t>
  </si>
  <si>
    <t>Count</t>
  </si>
  <si>
    <t>Assets/Images/logo_big.png</t>
  </si>
  <si>
    <t>Assets/Images/Terrain/terrain_tiles.png</t>
  </si>
  <si>
    <t>Assets/Images/UI/textbox_280x24.png</t>
  </si>
  <si>
    <t>Assets/Images/UI/radio_button.png</t>
  </si>
  <si>
    <t>Assets/Images/UI/checkbox.png</t>
  </si>
  <si>
    <t>Assets/Images/UI/button_120x24.png</t>
  </si>
  <si>
    <t>Assets/Fonts/Consola.ttf</t>
  </si>
  <si>
    <t>Assets/Fonts/Arial.ttf</t>
  </si>
  <si>
    <t>Assets/Sounds/Clicks/mouse_click.wav</t>
  </si>
  <si>
    <t>StringId</t>
  </si>
  <si>
    <t>StartMenuNewGame</t>
  </si>
  <si>
    <t>StartMenuSettings</t>
  </si>
  <si>
    <t>StartMenuQuit</t>
  </si>
  <si>
    <t>ConsoleMenu</t>
  </si>
  <si>
    <t>0,0,300,300</t>
  </si>
  <si>
    <t>LabelPosition</t>
  </si>
  <si>
    <t>ConsoleMenuPosition</t>
  </si>
  <si>
    <t>LabelConsoleMenuPosition</t>
  </si>
  <si>
    <t>ComponentType_1</t>
  </si>
  <si>
    <t>Component_1</t>
  </si>
  <si>
    <t>ComponentId_1</t>
  </si>
  <si>
    <t>ComponentType_2</t>
  </si>
  <si>
    <t>Component_2</t>
  </si>
  <si>
    <t>ComponentId_2</t>
  </si>
  <si>
    <t>ComponentType_3</t>
  </si>
  <si>
    <t>Component_3</t>
  </si>
  <si>
    <t>ComponentId_3</t>
  </si>
  <si>
    <t>Position: {1}, {2}</t>
  </si>
  <si>
    <t>Позиция: {1}, {2}</t>
  </si>
  <si>
    <t>20,20</t>
  </si>
  <si>
    <t>20,36</t>
  </si>
  <si>
    <t>ConsoleMenuDrawCalls</t>
  </si>
  <si>
    <t>Draw calls: {1}</t>
  </si>
  <si>
    <t>Рисувани картинки: {1}</t>
  </si>
  <si>
    <t>LabelConsoleMenuDrawCalls</t>
  </si>
  <si>
    <t>LabelDrawCalls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</si>
</sst>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1" xfId="0" applyFont="1" applyBorder="1"/>
    <xf numFmtId="0" fontId="0" fillId="2" borderId="1" xfId="0" applyFill="1" applyBorder="1"/>
    <xf numFmtId="0" fontId="0" fillId="3" borderId="1" xfId="0" applyFill="1" applyBorder="1"/>
    <xf numFmtId="0" fontId="0" fillId="0" borderId="0" xfId="0" applyFill="1"/>
    <xf numFmtId="0" fontId="1" fillId="0" borderId="1" xfId="0" applyFont="1" applyFill="1" applyBorder="1"/>
    <xf numFmtId="0" fontId="0" fillId="0" borderId="1" xfId="0" applyFill="1" applyBorder="1"/>
    <xf numFmtId="3" fontId="0" fillId="0" borderId="4" xfId="0" applyNumberFormat="1" applyFill="1" applyBorder="1"/>
    <xf numFmtId="3" fontId="0" fillId="0" borderId="3" xfId="0" applyNumberFormat="1" applyFill="1" applyBorder="1"/>
    <xf numFmtId="3" fontId="0" fillId="0" borderId="2" xfId="0" applyNumberFormat="1" applyFill="1" applyBorder="1"/>
    <xf numFmtId="3" fontId="0" fillId="0" borderId="1" xfId="0" applyNumberFormat="1" applyFill="1" applyBorder="1"/>
    <xf numFmtId="0" fontId="2" fillId="0" borderId="1" xfId="0" applyFont="1" applyFill="1" applyBorder="1"/>
    <xf numFmtId="3" fontId="0" fillId="0" borderId="5" xfId="0" applyNumberFormat="1" applyFill="1" applyBorder="1"/>
    <xf numFmtId="3" fontId="0" fillId="0" borderId="0" xfId="0" applyNumberFormat="1" applyFill="1"/>
  </cellXfs>
  <cellStyles count="1">
    <cellStyle name="Normal" xfId="0" builtinId="0"/>
  </cellStyles>
  <dxfs count="60">
    <dxf>
      <numFmt numFmtId="3" formatCode="#,##0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solid">
          <fgColor indexed="64"/>
          <bgColor theme="3" tint="0.59999389629810485"/>
        </patternFill>
      </fill>
      <border diagonalUp="0" diagonalDown="0" outline="0">
        <left/>
        <right/>
        <top/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" formatCode="#,##0"/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numFmt numFmtId="3" formatCode="#,##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0</xdr:row>
          <xdr:rowOff>0</xdr:rowOff>
        </xdr:from>
        <xdr:to>
          <xdr:col>9</xdr:col>
          <xdr:colOff>295275</xdr:colOff>
          <xdr:row>3</xdr:row>
          <xdr:rowOff>123825</xdr:rowOff>
        </xdr:to>
        <xdr:sp macro="" textlink="">
          <xdr:nvSpPr>
            <xdr:cNvPr id="11265" name="ButtonExportData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4" name="ImageIds" displayName="ImageIds" ref="C10:C15" headerRowCount="0" totalsRowShown="0" headerRowDxfId="59" dataDxfId="58" tableBorderDxfId="57">
  <tableColumns count="1">
    <tableColumn id="1" name="Column1" headerRowDxfId="56" dataDxfId="55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2" name="StringIds" displayName="StringIds" ref="C10:C14" headerRowCount="0" totalsRowShown="0" headerRowDxfId="54" dataDxfId="53">
  <tableColumns count="1">
    <tableColumn id="1" name="Column1" headerRowDxfId="52" dataDxfId="51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id="14" name="FontIds" displayName="FontIds" ref="C10:C15" headerRowCount="0" totalsRowShown="0" headerRowDxfId="50" dataDxfId="49">
  <tableColumns count="1">
    <tableColumn id="1" name="Column1" headerRowDxfId="48" dataDxfId="47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id="20" name="TextIds" displayName="TextIds" ref="C10:C14" headerRowCount="0" totalsRowShown="0" headerRowDxfId="46" dataDxfId="45">
  <tableColumns count="1">
    <tableColumn id="1" name="Column1" headerRowDxfId="44" dataDxfId="43"/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id="26" name="SoundIds" displayName="SoundIds" ref="C10:D10" headerRowCount="0" totalsRowShown="0" headerRowDxfId="42" dataDxfId="41">
  <tableColumns count="2">
    <tableColumn id="1" name="Column1" headerRowDxfId="40" dataDxfId="39"/>
    <tableColumn id="2" name="Column2" headerRowDxfId="38" dataDxfId="37"/>
  </tableColumns>
  <tableStyleInfo showFirstColumn="0" showLastColumn="0" showRowStripes="0" showColumnStripes="0"/>
</table>
</file>

<file path=xl/tables/table6.xml><?xml version="1.0" encoding="utf-8"?>
<table xmlns="http://schemas.openxmlformats.org/spreadsheetml/2006/main" id="32" name="MusicIds" displayName="MusicIds" ref="C10:D10" headerRowCount="0" totalsRowShown="0" headerRowDxfId="36" dataDxfId="35">
  <tableColumns count="2">
    <tableColumn id="1" name="Column1" headerRowDxfId="34" dataDxfId="33"/>
    <tableColumn id="2" name="Column2" headerRowDxfId="32" dataDxfId="31"/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id="1" name="ImageBoxIds" displayName="ImageBoxIds" ref="C10" headerRowCount="0" totalsRowShown="0" headerRowDxfId="30" dataDxfId="29">
  <tableColumns count="1">
    <tableColumn id="1" name="Column1" headerRowDxfId="28" dataDxfId="27"/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id="34" name="LabelIds" displayName="LabelIds" ref="C10:C11" headerRowCount="0" totalsRowShown="0" headerRowDxfId="26" dataDxfId="25">
  <tableColumns count="1">
    <tableColumn id="1" name="Column1" headerRowDxfId="24" dataDxfId="23"/>
  </tableColumns>
  <tableStyleInfo showFirstColumn="0" showLastColumn="0" showRowStripes="0" showColumnStripes="0"/>
</table>
</file>

<file path=xl/tables/table9.xml><?xml version="1.0" encoding="utf-8"?>
<table xmlns="http://schemas.openxmlformats.org/spreadsheetml/2006/main" id="42" name="ButtonIds" displayName="ButtonIds" ref="C10:C12" headerRowCount="0" totalsRowShown="0" headerRowDxfId="22" dataDxfId="21">
  <tableColumns count="1">
    <tableColumn id="1" name="Column1" headerRowDxfId="20" dataDxfId="19"/>
  </tableColumns>
  <tableStyleInfo showFirstColumn="0" showLastColumn="0" showRowStripes="0" showColumnStripes="0"/>
</table>
</file>

<file path=xl/tables/table10.xml><?xml version="1.0" encoding="utf-8"?>
<table xmlns="http://schemas.openxmlformats.org/spreadsheetml/2006/main" id="50" name="CheckboxIds" displayName="CheckboxIds" ref="C10" headerRowCount="0" totalsRowShown="0" headerRowDxfId="18" dataDxfId="17">
  <tableColumns count="1">
    <tableColumn id="1" name="Column1" headerRowDxfId="16" dataDxfId="15"/>
  </tableColumns>
  <tableStyleInfo showFirstColumn="0" showLastColumn="0" showRowStripes="0" showColumnStripes="0"/>
</table>
</file>

<file path=xl/tables/table11.xml><?xml version="1.0" encoding="utf-8"?>
<table xmlns="http://schemas.openxmlformats.org/spreadsheetml/2006/main" id="58" name="RadioButtonIds" displayName="RadioButtonIds" ref="C10" headerRowCount="0" totalsRowShown="0" headerRowDxfId="14" dataDxfId="13">
  <tableColumns count="1">
    <tableColumn id="1" name="Column1" headerRowDxfId="12" dataDxfId="11"/>
  </tableColumns>
  <tableStyleInfo showFirstColumn="0" showLastColumn="0" showRowStripes="0" showColumnStripes="0"/>
</table>
</file>

<file path=xl/tables/table12.xml><?xml version="1.0" encoding="utf-8"?>
<table xmlns="http://schemas.openxmlformats.org/spreadsheetml/2006/main" id="66" name="TextboxIds" displayName="TextboxIds" ref="C10" headerRowCount="0" totalsRowShown="0" headerRowDxfId="10" dataDxfId="9">
  <tableColumns count="1">
    <tableColumn id="1" name="Column1" headerRowDxfId="8" dataDxfId="7"/>
  </tableColumns>
  <tableStyleInfo showFirstColumn="0" showLastColumn="0" showRowStripes="0" showColumnStripes="0"/>
</table>
</file>

<file path=xl/tables/table13.xml><?xml version="1.0" encoding="utf-8"?>
<table xmlns="http://schemas.openxmlformats.org/spreadsheetml/2006/main" id="74" name="MenuIds" displayName="MenuIds" ref="C10:C11" headerRowCount="0" totalsRowShown="0" headerRowDxfId="6" dataDxfId="4" headerRowBorderDxfId="5" tableBorderDxfId="3" totalsRowBorderDxfId="2">
  <tableColumns count="1">
    <tableColumn id="1" name="Column1" headerRowDxfId="1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A1:C15"/>
  <sheetViews>
    <sheetView tabSelected="1" workbookViewId="0">
      <selection activeCell="H17" sqref="H17"/>
    </sheetView>
  </sheetViews>
  <sheetFormatPr defaultRowHeight="12.75" x14ac:dyDescent="0.2"/>
  <cols>
    <col min="1" max="1" width="24.7109375" customWidth="1"/>
    <col min="2" max="2" width="12.7109375" customWidth="1"/>
  </cols>
  <sheetData>
    <row r="1" spans="1:3" x14ac:dyDescent="0.2">
      <c r="A1" s="1" t="s">
        <v>6</v>
      </c>
      <c r="B1" s="1"/>
      <c r="C1" s="1"/>
    </row>
    <row r="2" spans="1:3" x14ac:dyDescent="0.2">
      <c r="A2" s="1" t="s">
        <v>17</v>
      </c>
      <c r="B2" s="1" t="s">
        <v>67</v>
      </c>
      <c r="C2" s="1" t="s">
        <v>68</v>
      </c>
    </row>
    <row r="3" spans="1:3" x14ac:dyDescent="0.2">
      <c r="A3" s="2" t="s">
        <v>45</v>
      </c>
      <c r="B3" s="2">
        <v>1</v>
      </c>
      <c r="C3" s="2">
        <f ca="1">COUNTIFS(INDIRECT(A3&amp;"!A:A"),TRUE)</f>
        <v>6</v>
      </c>
    </row>
    <row r="4" spans="1:3" x14ac:dyDescent="0.2">
      <c r="A4" s="2" t="s">
        <v>46</v>
      </c>
      <c r="B4" s="2">
        <f ca="1">B3+C3</f>
        <v>7</v>
      </c>
      <c r="C4" s="2">
        <f t="shared" ref="C4" ca="1" si="0">COUNTIFS(INDIRECT(A4&amp;"!A:A"),TRUE)</f>
        <v>5</v>
      </c>
    </row>
    <row r="5" spans="1:3" x14ac:dyDescent="0.2">
      <c r="A5" s="2" t="s">
        <v>48</v>
      </c>
      <c r="B5" s="2">
        <f ca="1">B4+C4</f>
        <v>12</v>
      </c>
      <c r="C5" s="2">
        <f t="shared" ref="C5:C15" ca="1" si="1">COUNTIFS(INDIRECT(A5&amp;"!A:A"),TRUE)</f>
        <v>6</v>
      </c>
    </row>
    <row r="6" spans="1:3" x14ac:dyDescent="0.2">
      <c r="A6" s="2" t="s">
        <v>49</v>
      </c>
      <c r="B6" s="2">
        <f t="shared" ref="B6:B15" ca="1" si="2">B5+C5</f>
        <v>18</v>
      </c>
      <c r="C6" s="2">
        <f t="shared" ca="1" si="1"/>
        <v>5</v>
      </c>
    </row>
    <row r="7" spans="1:3" x14ac:dyDescent="0.2">
      <c r="A7" s="2" t="s">
        <v>50</v>
      </c>
      <c r="B7" s="2">
        <f t="shared" ca="1" si="2"/>
        <v>23</v>
      </c>
      <c r="C7" s="2">
        <f t="shared" ca="1" si="1"/>
        <v>1</v>
      </c>
    </row>
    <row r="8" spans="1:3" x14ac:dyDescent="0.2">
      <c r="A8" s="2" t="s">
        <v>51</v>
      </c>
      <c r="B8" s="2">
        <f t="shared" ca="1" si="2"/>
        <v>24</v>
      </c>
      <c r="C8" s="2">
        <f t="shared" ca="1" si="1"/>
        <v>0</v>
      </c>
    </row>
    <row r="9" spans="1:3" x14ac:dyDescent="0.2">
      <c r="A9" s="3" t="s">
        <v>60</v>
      </c>
      <c r="B9" s="3">
        <f t="shared" ca="1" si="2"/>
        <v>24</v>
      </c>
      <c r="C9" s="3">
        <f t="shared" ca="1" si="1"/>
        <v>1</v>
      </c>
    </row>
    <row r="10" spans="1:3" x14ac:dyDescent="0.2">
      <c r="A10" s="3" t="s">
        <v>62</v>
      </c>
      <c r="B10" s="3">
        <f t="shared" ca="1" si="2"/>
        <v>25</v>
      </c>
      <c r="C10" s="3">
        <f t="shared" ca="1" si="1"/>
        <v>2</v>
      </c>
    </row>
    <row r="11" spans="1:3" x14ac:dyDescent="0.2">
      <c r="A11" s="3" t="s">
        <v>61</v>
      </c>
      <c r="B11" s="3">
        <f t="shared" ca="1" si="2"/>
        <v>27</v>
      </c>
      <c r="C11" s="3">
        <f t="shared" ca="1" si="1"/>
        <v>3</v>
      </c>
    </row>
    <row r="12" spans="1:3" x14ac:dyDescent="0.2">
      <c r="A12" s="3" t="s">
        <v>31</v>
      </c>
      <c r="B12" s="3">
        <f t="shared" ca="1" si="2"/>
        <v>30</v>
      </c>
      <c r="C12" s="3">
        <f t="shared" ca="1" si="1"/>
        <v>1</v>
      </c>
    </row>
    <row r="13" spans="1:3" x14ac:dyDescent="0.2">
      <c r="A13" s="3" t="s">
        <v>32</v>
      </c>
      <c r="B13" s="3">
        <f t="shared" ca="1" si="2"/>
        <v>31</v>
      </c>
      <c r="C13" s="3">
        <f t="shared" ca="1" si="1"/>
        <v>1</v>
      </c>
    </row>
    <row r="14" spans="1:3" x14ac:dyDescent="0.2">
      <c r="A14" s="3" t="s">
        <v>66</v>
      </c>
      <c r="B14" s="3">
        <f t="shared" ca="1" si="2"/>
        <v>32</v>
      </c>
      <c r="C14" s="3">
        <f t="shared" ca="1" si="1"/>
        <v>1</v>
      </c>
    </row>
    <row r="15" spans="1:3" x14ac:dyDescent="0.2">
      <c r="A15" s="3" t="s">
        <v>64</v>
      </c>
      <c r="B15" s="3">
        <f t="shared" ca="1" si="2"/>
        <v>33</v>
      </c>
      <c r="C15" s="3">
        <f t="shared" ca="1" si="1"/>
        <v>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ButtonExportData">
          <controlPr defaultSize="0" autoLine="0" r:id="rId5">
            <anchor moveWithCells="1">
              <from>
                <xdr:col>5</xdr:col>
                <xdr:colOff>447675</xdr:colOff>
                <xdr:row>0</xdr:row>
                <xdr:rowOff>0</xdr:rowOff>
              </from>
              <to>
                <xdr:col>9</xdr:col>
                <xdr:colOff>295275</xdr:colOff>
                <xdr:row>3</xdr:row>
                <xdr:rowOff>123825</xdr:rowOff>
              </to>
            </anchor>
          </controlPr>
        </control>
      </mc:Choice>
      <mc:Fallback>
        <control shapeId="11265" r:id="rId4" name="ButtonExpor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E15"/>
  <sheetViews>
    <sheetView topLeftCell="A7" workbookViewId="0">
      <selection activeCell="C44" sqref="C44"/>
    </sheetView>
  </sheetViews>
  <sheetFormatPr defaultRowHeight="12.75" x14ac:dyDescent="0.2"/>
  <cols>
    <col min="1" max="1" width="9.140625" style="4"/>
    <col min="2" max="2" width="15.7109375" style="4" customWidth="1"/>
    <col min="3" max="4" width="30.7109375" style="4" customWidth="1"/>
    <col min="5" max="5" width="12.7109375" style="4" customWidth="1"/>
    <col min="6" max="16384" width="9.140625" style="4"/>
  </cols>
  <sheetData>
    <row r="1" spans="1:5" hidden="1" x14ac:dyDescent="0.2"/>
    <row r="2" spans="1:5" hidden="1" x14ac:dyDescent="0.2"/>
    <row r="3" spans="1:5" hidden="1" x14ac:dyDescent="0.2"/>
    <row r="4" spans="1:5" hidden="1" x14ac:dyDescent="0.2"/>
    <row r="5" spans="1:5" hidden="1" x14ac:dyDescent="0.2"/>
    <row r="6" spans="1:5" hidden="1" x14ac:dyDescent="0.2"/>
    <row r="7" spans="1:5" x14ac:dyDescent="0.2">
      <c r="A7" s="5"/>
      <c r="B7" s="5" t="s">
        <v>47</v>
      </c>
      <c r="C7" s="5" t="s">
        <v>46</v>
      </c>
      <c r="D7" s="5" t="s">
        <v>46</v>
      </c>
      <c r="E7" s="5" t="s">
        <v>47</v>
      </c>
    </row>
    <row r="8" spans="1:5" x14ac:dyDescent="0.2">
      <c r="A8" s="5"/>
      <c r="B8" s="5" t="s">
        <v>59</v>
      </c>
      <c r="C8" s="5" t="s">
        <v>18</v>
      </c>
      <c r="D8" s="5" t="s">
        <v>19</v>
      </c>
      <c r="E8" s="5" t="s">
        <v>20</v>
      </c>
    </row>
    <row r="9" spans="1:5" x14ac:dyDescent="0.2">
      <c r="A9" s="5" t="s">
        <v>0</v>
      </c>
      <c r="B9" s="11" t="b">
        <v>1</v>
      </c>
      <c r="C9" s="11" t="b">
        <v>0</v>
      </c>
      <c r="D9" s="11" t="b">
        <v>1</v>
      </c>
      <c r="E9" s="11" t="b">
        <v>1</v>
      </c>
    </row>
    <row r="10" spans="1:5" x14ac:dyDescent="0.2">
      <c r="A10" s="6" t="b">
        <v>1</v>
      </c>
      <c r="B10" s="6">
        <v>0</v>
      </c>
      <c r="C10" s="7" t="s">
        <v>29</v>
      </c>
      <c r="D10" s="6" t="s">
        <v>69</v>
      </c>
      <c r="E10" s="6">
        <v>1</v>
      </c>
    </row>
    <row r="11" spans="1:5" x14ac:dyDescent="0.2">
      <c r="A11" s="6" t="b">
        <v>1</v>
      </c>
      <c r="B11" s="6">
        <f>B10+1</f>
        <v>1</v>
      </c>
      <c r="C11" s="8" t="s">
        <v>30</v>
      </c>
      <c r="D11" s="6" t="s">
        <v>74</v>
      </c>
      <c r="E11" s="6">
        <v>3</v>
      </c>
    </row>
    <row r="12" spans="1:5" x14ac:dyDescent="0.2">
      <c r="A12" s="6" t="b">
        <v>1</v>
      </c>
      <c r="B12" s="6">
        <f t="shared" ref="B12:B15" si="0">B11+1</f>
        <v>2</v>
      </c>
      <c r="C12" s="8" t="s">
        <v>31</v>
      </c>
      <c r="D12" s="6" t="s">
        <v>73</v>
      </c>
      <c r="E12" s="6">
        <v>2</v>
      </c>
    </row>
    <row r="13" spans="1:5" x14ac:dyDescent="0.2">
      <c r="A13" s="6" t="b">
        <v>1</v>
      </c>
      <c r="B13" s="6">
        <f t="shared" si="0"/>
        <v>3</v>
      </c>
      <c r="C13" s="8" t="s">
        <v>32</v>
      </c>
      <c r="D13" s="6" t="s">
        <v>72</v>
      </c>
      <c r="E13" s="6">
        <v>2</v>
      </c>
    </row>
    <row r="14" spans="1:5" x14ac:dyDescent="0.2">
      <c r="A14" s="6" t="b">
        <v>1</v>
      </c>
      <c r="B14" s="6">
        <f t="shared" si="0"/>
        <v>4</v>
      </c>
      <c r="C14" s="8" t="s">
        <v>33</v>
      </c>
      <c r="D14" s="6" t="s">
        <v>71</v>
      </c>
      <c r="E14" s="6">
        <v>1</v>
      </c>
    </row>
    <row r="15" spans="1:5" x14ac:dyDescent="0.2">
      <c r="A15" s="6" t="b">
        <v>1</v>
      </c>
      <c r="B15" s="6">
        <f t="shared" si="0"/>
        <v>5</v>
      </c>
      <c r="C15" s="9" t="s">
        <v>34</v>
      </c>
      <c r="D15" s="6" t="s">
        <v>70</v>
      </c>
      <c r="E15" s="6">
        <v>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92D050"/>
  </sheetPr>
  <dimension ref="A1:E15"/>
  <sheetViews>
    <sheetView topLeftCell="A7" workbookViewId="0">
      <selection activeCell="E13" sqref="E13"/>
    </sheetView>
  </sheetViews>
  <sheetFormatPr defaultRowHeight="12.75" x14ac:dyDescent="0.2"/>
  <cols>
    <col min="1" max="1" width="9.140625" style="4"/>
    <col min="2" max="2" width="15.7109375" style="4" customWidth="1"/>
    <col min="3" max="5" width="30.7109375" style="4" customWidth="1"/>
    <col min="6" max="16384" width="9.140625" style="4"/>
  </cols>
  <sheetData>
    <row r="1" spans="1:5" hidden="1" x14ac:dyDescent="0.2"/>
    <row r="2" spans="1:5" hidden="1" x14ac:dyDescent="0.2"/>
    <row r="3" spans="1:5" hidden="1" x14ac:dyDescent="0.2"/>
    <row r="4" spans="1:5" hidden="1" x14ac:dyDescent="0.2"/>
    <row r="5" spans="1:5" hidden="1" x14ac:dyDescent="0.2"/>
    <row r="6" spans="1:5" hidden="1" x14ac:dyDescent="0.2"/>
    <row r="7" spans="1:5" x14ac:dyDescent="0.2">
      <c r="A7" s="5"/>
      <c r="B7" s="5" t="s">
        <v>47</v>
      </c>
      <c r="C7" s="5" t="s">
        <v>46</v>
      </c>
      <c r="D7" s="5" t="s">
        <v>46</v>
      </c>
      <c r="E7" s="5" t="s">
        <v>46</v>
      </c>
    </row>
    <row r="8" spans="1:5" x14ac:dyDescent="0.2">
      <c r="A8" s="5"/>
      <c r="B8" s="5" t="s">
        <v>59</v>
      </c>
      <c r="C8" s="5" t="s">
        <v>18</v>
      </c>
      <c r="D8" s="5" t="s">
        <v>26</v>
      </c>
      <c r="E8" s="5" t="s">
        <v>27</v>
      </c>
    </row>
    <row r="9" spans="1:5" x14ac:dyDescent="0.2">
      <c r="A9" s="5" t="s">
        <v>0</v>
      </c>
      <c r="B9" s="5" t="b">
        <v>1</v>
      </c>
      <c r="C9" s="5" t="b">
        <v>0</v>
      </c>
      <c r="D9" s="5" t="b">
        <v>1</v>
      </c>
      <c r="E9" s="5" t="b">
        <v>1</v>
      </c>
    </row>
    <row r="10" spans="1:5" x14ac:dyDescent="0.2">
      <c r="A10" s="6" t="b">
        <v>1</v>
      </c>
      <c r="B10" s="6">
        <v>0</v>
      </c>
      <c r="C10" s="10" t="s">
        <v>79</v>
      </c>
      <c r="D10" s="6" t="s">
        <v>7</v>
      </c>
      <c r="E10" s="6" t="s">
        <v>8</v>
      </c>
    </row>
    <row r="11" spans="1:5" x14ac:dyDescent="0.2">
      <c r="A11" s="6" t="b">
        <v>1</v>
      </c>
      <c r="B11" s="6">
        <f>B10+1</f>
        <v>1</v>
      </c>
      <c r="C11" s="10" t="s">
        <v>80</v>
      </c>
      <c r="D11" s="6" t="s">
        <v>9</v>
      </c>
      <c r="E11" s="6" t="s">
        <v>12</v>
      </c>
    </row>
    <row r="12" spans="1:5" x14ac:dyDescent="0.2">
      <c r="A12" s="6" t="b">
        <v>1</v>
      </c>
      <c r="B12" s="6">
        <f t="shared" ref="B12:B14" si="0">B11+1</f>
        <v>2</v>
      </c>
      <c r="C12" s="10" t="s">
        <v>81</v>
      </c>
      <c r="D12" s="6" t="s">
        <v>10</v>
      </c>
      <c r="E12" s="6" t="s">
        <v>11</v>
      </c>
    </row>
    <row r="13" spans="1:5" x14ac:dyDescent="0.2">
      <c r="A13" s="6" t="b">
        <v>1</v>
      </c>
      <c r="B13" s="6">
        <f t="shared" si="0"/>
        <v>3</v>
      </c>
      <c r="C13" s="10" t="s">
        <v>100</v>
      </c>
      <c r="D13" s="6" t="s">
        <v>101</v>
      </c>
      <c r="E13" s="6" t="s">
        <v>102</v>
      </c>
    </row>
    <row r="14" spans="1:5" x14ac:dyDescent="0.2">
      <c r="A14" s="6" t="b">
        <v>1</v>
      </c>
      <c r="B14" s="6">
        <f t="shared" si="0"/>
        <v>4</v>
      </c>
      <c r="C14" s="10" t="s">
        <v>85</v>
      </c>
      <c r="D14" s="6" t="s">
        <v>96</v>
      </c>
      <c r="E14" s="6" t="s">
        <v>97</v>
      </c>
    </row>
    <row r="15" spans="1:5" x14ac:dyDescent="0.2">
      <c r="C15" s="1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F15"/>
  <sheetViews>
    <sheetView topLeftCell="A7" workbookViewId="0">
      <selection activeCell="A7" sqref="A7"/>
    </sheetView>
  </sheetViews>
  <sheetFormatPr defaultRowHeight="12.75" x14ac:dyDescent="0.2"/>
  <cols>
    <col min="1" max="1" width="9.140625" style="4"/>
    <col min="2" max="2" width="15.7109375" style="4" customWidth="1"/>
    <col min="3" max="4" width="30.7109375" style="4" customWidth="1"/>
    <col min="5" max="6" width="12.7109375" style="4" customWidth="1"/>
    <col min="7" max="16384" width="9.140625" style="4"/>
  </cols>
  <sheetData>
    <row r="1" spans="1:6" hidden="1" x14ac:dyDescent="0.2"/>
    <row r="2" spans="1:6" hidden="1" x14ac:dyDescent="0.2"/>
    <row r="3" spans="1:6" hidden="1" x14ac:dyDescent="0.2"/>
    <row r="4" spans="1:6" hidden="1" x14ac:dyDescent="0.2"/>
    <row r="5" spans="1:6" hidden="1" x14ac:dyDescent="0.2"/>
    <row r="6" spans="1:6" hidden="1" x14ac:dyDescent="0.2"/>
    <row r="7" spans="1:6" x14ac:dyDescent="0.2">
      <c r="A7" s="5"/>
      <c r="B7" s="5" t="s">
        <v>47</v>
      </c>
      <c r="C7" s="5" t="s">
        <v>46</v>
      </c>
      <c r="D7" s="5" t="s">
        <v>46</v>
      </c>
      <c r="E7" s="5" t="s">
        <v>47</v>
      </c>
      <c r="F7" s="5" t="s">
        <v>47</v>
      </c>
    </row>
    <row r="8" spans="1:6" x14ac:dyDescent="0.2">
      <c r="A8" s="5"/>
      <c r="B8" s="5" t="s">
        <v>59</v>
      </c>
      <c r="C8" s="5" t="s">
        <v>18</v>
      </c>
      <c r="D8" s="5" t="s">
        <v>19</v>
      </c>
      <c r="E8" s="5" t="s">
        <v>21</v>
      </c>
      <c r="F8" s="5" t="s">
        <v>22</v>
      </c>
    </row>
    <row r="9" spans="1:6" x14ac:dyDescent="0.2">
      <c r="A9" s="5" t="s">
        <v>0</v>
      </c>
      <c r="B9" s="5" t="b">
        <v>1</v>
      </c>
      <c r="C9" s="5" t="b">
        <v>0</v>
      </c>
      <c r="D9" s="5" t="b">
        <v>1</v>
      </c>
      <c r="E9" s="5" t="b">
        <v>1</v>
      </c>
      <c r="F9" s="5" t="b">
        <v>1</v>
      </c>
    </row>
    <row r="10" spans="1:6" x14ac:dyDescent="0.2">
      <c r="A10" s="6" t="b">
        <v>1</v>
      </c>
      <c r="B10" s="6">
        <v>0</v>
      </c>
      <c r="C10" s="10" t="s">
        <v>35</v>
      </c>
      <c r="D10" s="6" t="s">
        <v>75</v>
      </c>
      <c r="E10" s="6">
        <v>12</v>
      </c>
      <c r="F10" s="6">
        <v>1</v>
      </c>
    </row>
    <row r="11" spans="1:6" x14ac:dyDescent="0.2">
      <c r="A11" s="6" t="b">
        <v>1</v>
      </c>
      <c r="B11" s="6">
        <f>B10+1</f>
        <v>1</v>
      </c>
      <c r="C11" s="10" t="s">
        <v>36</v>
      </c>
      <c r="D11" s="6" t="s">
        <v>75</v>
      </c>
      <c r="E11" s="6">
        <v>14</v>
      </c>
      <c r="F11" s="6">
        <v>1</v>
      </c>
    </row>
    <row r="12" spans="1:6" x14ac:dyDescent="0.2">
      <c r="A12" s="6" t="b">
        <v>1</v>
      </c>
      <c r="B12" s="6">
        <f t="shared" ref="B12:B15" si="0">B11+1</f>
        <v>2</v>
      </c>
      <c r="C12" s="10" t="s">
        <v>37</v>
      </c>
      <c r="D12" s="6" t="s">
        <v>75</v>
      </c>
      <c r="E12" s="6">
        <v>18</v>
      </c>
      <c r="F12" s="6">
        <v>1</v>
      </c>
    </row>
    <row r="13" spans="1:6" x14ac:dyDescent="0.2">
      <c r="A13" s="6" t="b">
        <v>1</v>
      </c>
      <c r="B13" s="6">
        <f t="shared" si="0"/>
        <v>3</v>
      </c>
      <c r="C13" s="10" t="s">
        <v>38</v>
      </c>
      <c r="D13" s="6" t="s">
        <v>76</v>
      </c>
      <c r="E13" s="6">
        <v>12</v>
      </c>
      <c r="F13" s="6">
        <v>1</v>
      </c>
    </row>
    <row r="14" spans="1:6" x14ac:dyDescent="0.2">
      <c r="A14" s="6" t="b">
        <v>1</v>
      </c>
      <c r="B14" s="6">
        <f t="shared" si="0"/>
        <v>4</v>
      </c>
      <c r="C14" s="10" t="s">
        <v>39</v>
      </c>
      <c r="D14" s="6" t="s">
        <v>76</v>
      </c>
      <c r="E14" s="6">
        <v>14</v>
      </c>
      <c r="F14" s="6">
        <v>1</v>
      </c>
    </row>
    <row r="15" spans="1:6" x14ac:dyDescent="0.2">
      <c r="A15" s="6" t="b">
        <v>1</v>
      </c>
      <c r="B15" s="6">
        <f t="shared" si="0"/>
        <v>5</v>
      </c>
      <c r="C15" s="10" t="s">
        <v>40</v>
      </c>
      <c r="D15" s="6" t="s">
        <v>76</v>
      </c>
      <c r="E15" s="6">
        <v>18</v>
      </c>
      <c r="F15" s="6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I15"/>
  <sheetViews>
    <sheetView topLeftCell="A7" workbookViewId="0">
      <selection activeCell="I13" sqref="I13"/>
    </sheetView>
  </sheetViews>
  <sheetFormatPr defaultRowHeight="12.75" x14ac:dyDescent="0.2"/>
  <cols>
    <col min="1" max="1" width="9.140625" style="4"/>
    <col min="2" max="2" width="15.7109375" style="4" customWidth="1"/>
    <col min="3" max="3" width="30.7109375" style="4" customWidth="1"/>
    <col min="4" max="4" width="12.7109375" style="4" customWidth="1"/>
    <col min="5" max="5" width="15.7109375" style="4" customWidth="1"/>
    <col min="6" max="6" width="12.7109375" style="4" customWidth="1"/>
    <col min="7" max="9" width="15.7109375" style="4" customWidth="1"/>
    <col min="10" max="16384" width="9.140625" style="4"/>
  </cols>
  <sheetData>
    <row r="1" spans="1:9" hidden="1" x14ac:dyDescent="0.2"/>
    <row r="2" spans="1:9" hidden="1" x14ac:dyDescent="0.2"/>
    <row r="3" spans="1:9" hidden="1" x14ac:dyDescent="0.2"/>
    <row r="4" spans="1:9" hidden="1" x14ac:dyDescent="0.2"/>
    <row r="5" spans="1:9" hidden="1" x14ac:dyDescent="0.2"/>
    <row r="6" spans="1:9" hidden="1" x14ac:dyDescent="0.2"/>
    <row r="7" spans="1:9" x14ac:dyDescent="0.2">
      <c r="A7" s="5"/>
      <c r="B7" s="5" t="s">
        <v>47</v>
      </c>
      <c r="C7" s="5" t="s">
        <v>46</v>
      </c>
      <c r="D7" s="5" t="s">
        <v>46</v>
      </c>
      <c r="E7" s="5" t="s">
        <v>47</v>
      </c>
      <c r="F7" s="5" t="s">
        <v>47</v>
      </c>
      <c r="G7" s="5" t="s">
        <v>47</v>
      </c>
      <c r="H7" s="5" t="s">
        <v>47</v>
      </c>
      <c r="I7" s="5" t="s">
        <v>47</v>
      </c>
    </row>
    <row r="8" spans="1:9" x14ac:dyDescent="0.2">
      <c r="A8" s="5"/>
      <c r="B8" s="5" t="s">
        <v>59</v>
      </c>
      <c r="C8" s="5" t="s">
        <v>18</v>
      </c>
      <c r="D8" s="5" t="s">
        <v>23</v>
      </c>
      <c r="E8" s="5" t="s">
        <v>46</v>
      </c>
      <c r="F8" s="5" t="s">
        <v>78</v>
      </c>
      <c r="G8" s="5" t="s">
        <v>48</v>
      </c>
      <c r="H8" s="5" t="s">
        <v>24</v>
      </c>
      <c r="I8" s="5" t="s">
        <v>25</v>
      </c>
    </row>
    <row r="9" spans="1:9" x14ac:dyDescent="0.2">
      <c r="A9" s="5" t="s">
        <v>0</v>
      </c>
      <c r="B9" s="5" t="b">
        <v>1</v>
      </c>
      <c r="C9" s="5" t="b">
        <v>0</v>
      </c>
      <c r="D9" s="5" t="b">
        <v>1</v>
      </c>
      <c r="E9" s="5" t="b">
        <v>0</v>
      </c>
      <c r="F9" s="5" t="b">
        <v>1</v>
      </c>
      <c r="G9" s="5" t="b">
        <v>0</v>
      </c>
      <c r="H9" s="5" t="b">
        <v>1</v>
      </c>
      <c r="I9" s="5" t="b">
        <v>1</v>
      </c>
    </row>
    <row r="10" spans="1:9" x14ac:dyDescent="0.2">
      <c r="A10" s="6" t="b">
        <v>1</v>
      </c>
      <c r="B10" s="6">
        <v>0</v>
      </c>
      <c r="C10" s="10" t="s">
        <v>41</v>
      </c>
      <c r="D10" s="10" t="s">
        <v>1</v>
      </c>
      <c r="E10" s="6" t="s">
        <v>79</v>
      </c>
      <c r="F10" s="10">
        <f ca="1">INDIRECT(E$8&amp;"!B"&amp;MATCH(E10,INDIRECT(E$8&amp;"!C:C"),0))</f>
        <v>0</v>
      </c>
      <c r="G10" s="6" t="s">
        <v>39</v>
      </c>
      <c r="H10" s="6">
        <f ca="1">INDIRECT(G$8&amp;"!B"&amp;MATCH(G10,INDIRECT(G$8&amp;"!C:C"),0))</f>
        <v>4</v>
      </c>
      <c r="I10" s="6">
        <v>100</v>
      </c>
    </row>
    <row r="11" spans="1:9" x14ac:dyDescent="0.2">
      <c r="A11" s="6" t="b">
        <v>1</v>
      </c>
      <c r="B11" s="6">
        <f>B10+1</f>
        <v>1</v>
      </c>
      <c r="C11" s="10" t="s">
        <v>43</v>
      </c>
      <c r="D11" s="10" t="s">
        <v>1</v>
      </c>
      <c r="E11" s="6" t="s">
        <v>80</v>
      </c>
      <c r="F11" s="10">
        <f t="shared" ref="F11:F14" ca="1" si="0">INDIRECT(E$8&amp;"!B"&amp;MATCH(E11,INDIRECT(E$8&amp;"!C:C"),0))</f>
        <v>1</v>
      </c>
      <c r="G11" s="6" t="s">
        <v>39</v>
      </c>
      <c r="H11" s="6">
        <f t="shared" ref="H11:H14" ca="1" si="1">INDIRECT(G$8&amp;"!B"&amp;MATCH(G11,INDIRECT(G$8&amp;"!C:C"),0))</f>
        <v>4</v>
      </c>
      <c r="I11" s="6">
        <v>100</v>
      </c>
    </row>
    <row r="12" spans="1:9" x14ac:dyDescent="0.2">
      <c r="A12" s="6" t="b">
        <v>1</v>
      </c>
      <c r="B12" s="6">
        <f>B11+1</f>
        <v>2</v>
      </c>
      <c r="C12" s="10" t="s">
        <v>42</v>
      </c>
      <c r="D12" s="10" t="s">
        <v>1</v>
      </c>
      <c r="E12" s="6" t="s">
        <v>81</v>
      </c>
      <c r="F12" s="10">
        <f t="shared" ref="F12" ca="1" si="2">INDIRECT(E$8&amp;"!B"&amp;MATCH(E12,INDIRECT(E$8&amp;"!C:C"),0))</f>
        <v>2</v>
      </c>
      <c r="G12" s="6" t="s">
        <v>39</v>
      </c>
      <c r="H12" s="6">
        <f t="shared" ref="H12" ca="1" si="3">INDIRECT(G$8&amp;"!B"&amp;MATCH(G12,INDIRECT(G$8&amp;"!C:C"),0))</f>
        <v>4</v>
      </c>
      <c r="I12" s="6">
        <v>100</v>
      </c>
    </row>
    <row r="13" spans="1:9" x14ac:dyDescent="0.2">
      <c r="A13" s="6" t="b">
        <v>1</v>
      </c>
      <c r="B13" s="6">
        <f>B12+1</f>
        <v>3</v>
      </c>
      <c r="C13" s="10" t="s">
        <v>103</v>
      </c>
      <c r="D13" s="10" t="s">
        <v>1</v>
      </c>
      <c r="E13" s="6" t="s">
        <v>100</v>
      </c>
      <c r="F13" s="10">
        <f t="shared" ref="F13" ca="1" si="4">INDIRECT(E$8&amp;"!B"&amp;MATCH(E13,INDIRECT(E$8&amp;"!C:C"),0))</f>
        <v>3</v>
      </c>
      <c r="G13" s="6" t="s">
        <v>39</v>
      </c>
      <c r="H13" s="6">
        <f t="shared" ref="H13" ca="1" si="5">INDIRECT(G$8&amp;"!B"&amp;MATCH(G13,INDIRECT(G$8&amp;"!C:C"),0))</f>
        <v>4</v>
      </c>
      <c r="I13" s="6">
        <v>0</v>
      </c>
    </row>
    <row r="14" spans="1:9" x14ac:dyDescent="0.2">
      <c r="A14" s="6" t="b">
        <v>1</v>
      </c>
      <c r="B14" s="6">
        <f>B13+1</f>
        <v>4</v>
      </c>
      <c r="C14" s="10" t="s">
        <v>86</v>
      </c>
      <c r="D14" s="10" t="s">
        <v>1</v>
      </c>
      <c r="E14" s="6" t="s">
        <v>85</v>
      </c>
      <c r="F14" s="10">
        <f t="shared" ca="1" si="0"/>
        <v>4</v>
      </c>
      <c r="G14" s="6" t="s">
        <v>39</v>
      </c>
      <c r="H14" s="6">
        <f t="shared" ca="1" si="1"/>
        <v>4</v>
      </c>
      <c r="I14" s="6">
        <v>0</v>
      </c>
    </row>
    <row r="15" spans="1:9" x14ac:dyDescent="0.2">
      <c r="C15" s="13"/>
    </row>
  </sheetData>
  <dataValidations count="2">
    <dataValidation type="list" allowBlank="1" showInputMessage="1" showErrorMessage="1" sqref="G10:G1048576">
      <formula1>INDIRECT("FontIds")</formula1>
    </dataValidation>
    <dataValidation type="list" allowBlank="1" showInputMessage="1" showErrorMessage="1" sqref="E1:E6 E10:E1048576">
      <formula1>INDIRECT("StringIds")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92D050"/>
  </sheetPr>
  <dimension ref="A1:E10"/>
  <sheetViews>
    <sheetView topLeftCell="A7" workbookViewId="0">
      <selection activeCell="A7" sqref="A7"/>
    </sheetView>
  </sheetViews>
  <sheetFormatPr defaultRowHeight="12.75" x14ac:dyDescent="0.2"/>
  <cols>
    <col min="1" max="1" width="9.140625" style="4"/>
    <col min="2" max="2" width="15.7109375" style="4" customWidth="1"/>
    <col min="3" max="4" width="30.7109375" style="4" customWidth="1"/>
    <col min="5" max="5" width="12.7109375" style="4" customWidth="1"/>
    <col min="6" max="16384" width="9.140625" style="4"/>
  </cols>
  <sheetData>
    <row r="1" spans="1:5" hidden="1" x14ac:dyDescent="0.2"/>
    <row r="2" spans="1:5" hidden="1" x14ac:dyDescent="0.2"/>
    <row r="3" spans="1:5" hidden="1" x14ac:dyDescent="0.2"/>
    <row r="4" spans="1:5" hidden="1" x14ac:dyDescent="0.2"/>
    <row r="5" spans="1:5" hidden="1" x14ac:dyDescent="0.2"/>
    <row r="6" spans="1:5" hidden="1" x14ac:dyDescent="0.2"/>
    <row r="7" spans="1:5" x14ac:dyDescent="0.2">
      <c r="A7" s="5"/>
      <c r="B7" s="5" t="s">
        <v>47</v>
      </c>
      <c r="C7" s="5" t="s">
        <v>46</v>
      </c>
      <c r="D7" s="5" t="s">
        <v>46</v>
      </c>
      <c r="E7" s="5" t="s">
        <v>47</v>
      </c>
    </row>
    <row r="8" spans="1:5" x14ac:dyDescent="0.2">
      <c r="A8" s="5"/>
      <c r="B8" s="5" t="s">
        <v>59</v>
      </c>
      <c r="C8" s="5" t="s">
        <v>18</v>
      </c>
      <c r="D8" s="5" t="s">
        <v>19</v>
      </c>
      <c r="E8" s="5" t="s">
        <v>28</v>
      </c>
    </row>
    <row r="9" spans="1:5" x14ac:dyDescent="0.2">
      <c r="A9" s="5" t="s">
        <v>0</v>
      </c>
      <c r="B9" s="5" t="b">
        <v>1</v>
      </c>
      <c r="C9" s="5" t="b">
        <v>0</v>
      </c>
      <c r="D9" s="5" t="b">
        <v>1</v>
      </c>
      <c r="E9" s="5" t="b">
        <v>1</v>
      </c>
    </row>
    <row r="10" spans="1:5" x14ac:dyDescent="0.2">
      <c r="A10" s="6" t="b">
        <v>1</v>
      </c>
      <c r="B10" s="6">
        <v>0</v>
      </c>
      <c r="C10" s="10" t="s">
        <v>44</v>
      </c>
      <c r="D10" s="10" t="s">
        <v>77</v>
      </c>
      <c r="E10" s="6">
        <v>128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92D050"/>
  </sheetPr>
  <dimension ref="A1:E10"/>
  <sheetViews>
    <sheetView topLeftCell="A7" workbookViewId="0">
      <selection activeCell="A7" sqref="A7"/>
    </sheetView>
  </sheetViews>
  <sheetFormatPr defaultRowHeight="12.75" x14ac:dyDescent="0.2"/>
  <cols>
    <col min="1" max="1" width="9.140625" style="4"/>
    <col min="2" max="2" width="15.7109375" style="4" customWidth="1"/>
    <col min="3" max="4" width="30.7109375" style="4" customWidth="1"/>
    <col min="5" max="5" width="12.7109375" style="4" customWidth="1"/>
    <col min="6" max="16384" width="9.140625" style="4"/>
  </cols>
  <sheetData>
    <row r="1" spans="1:5" hidden="1" x14ac:dyDescent="0.2"/>
    <row r="2" spans="1:5" hidden="1" x14ac:dyDescent="0.2"/>
    <row r="3" spans="1:5" hidden="1" x14ac:dyDescent="0.2"/>
    <row r="4" spans="1:5" hidden="1" x14ac:dyDescent="0.2"/>
    <row r="5" spans="1:5" hidden="1" x14ac:dyDescent="0.2"/>
    <row r="6" spans="1:5" hidden="1" x14ac:dyDescent="0.2"/>
    <row r="7" spans="1:5" x14ac:dyDescent="0.2">
      <c r="A7" s="5"/>
      <c r="B7" s="5" t="s">
        <v>47</v>
      </c>
      <c r="C7" s="5" t="s">
        <v>46</v>
      </c>
      <c r="D7" s="5" t="s">
        <v>46</v>
      </c>
      <c r="E7" s="5" t="s">
        <v>47</v>
      </c>
    </row>
    <row r="8" spans="1:5" x14ac:dyDescent="0.2">
      <c r="A8" s="5"/>
      <c r="B8" s="5" t="s">
        <v>59</v>
      </c>
      <c r="C8" s="5" t="s">
        <v>18</v>
      </c>
      <c r="D8" s="5" t="s">
        <v>19</v>
      </c>
      <c r="E8" s="5" t="s">
        <v>28</v>
      </c>
    </row>
    <row r="9" spans="1:5" x14ac:dyDescent="0.2">
      <c r="A9" s="5" t="s">
        <v>0</v>
      </c>
      <c r="B9" s="5" t="b">
        <v>1</v>
      </c>
      <c r="C9" s="5" t="b">
        <v>0</v>
      </c>
      <c r="D9" s="5" t="b">
        <v>1</v>
      </c>
      <c r="E9" s="5" t="b">
        <v>1</v>
      </c>
    </row>
    <row r="10" spans="1:5" x14ac:dyDescent="0.2">
      <c r="A10" s="6"/>
      <c r="B10" s="6">
        <v>0</v>
      </c>
      <c r="C10" s="10" t="s">
        <v>44</v>
      </c>
      <c r="D10" s="10" t="s">
        <v>77</v>
      </c>
      <c r="E10" s="6">
        <v>128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F10"/>
  <sheetViews>
    <sheetView topLeftCell="A7" zoomScaleNormal="100" workbookViewId="0">
      <selection activeCell="C10" sqref="C10"/>
    </sheetView>
  </sheetViews>
  <sheetFormatPr defaultRowHeight="12.75" x14ac:dyDescent="0.2"/>
  <cols>
    <col min="1" max="1" width="9.140625" style="4"/>
    <col min="2" max="2" width="15.7109375" style="4" customWidth="1"/>
    <col min="3" max="3" width="30.7109375" style="4" customWidth="1"/>
    <col min="4" max="4" width="15.7109375" style="4" customWidth="1"/>
    <col min="5" max="5" width="24.7109375" style="4" customWidth="1"/>
    <col min="6" max="6" width="15.7109375" style="4" customWidth="1"/>
    <col min="7" max="16384" width="9.140625" style="4"/>
  </cols>
  <sheetData>
    <row r="1" spans="1:6" hidden="1" x14ac:dyDescent="0.2"/>
    <row r="2" spans="1:6" hidden="1" x14ac:dyDescent="0.2"/>
    <row r="3" spans="1:6" hidden="1" x14ac:dyDescent="0.2"/>
    <row r="4" spans="1:6" hidden="1" x14ac:dyDescent="0.2"/>
    <row r="5" spans="1:6" hidden="1" x14ac:dyDescent="0.2"/>
    <row r="6" spans="1:6" hidden="1" x14ac:dyDescent="0.2"/>
    <row r="7" spans="1:6" x14ac:dyDescent="0.2">
      <c r="A7" s="5"/>
      <c r="B7" s="5" t="s">
        <v>47</v>
      </c>
      <c r="C7" s="5" t="s">
        <v>46</v>
      </c>
      <c r="D7" s="5" t="s">
        <v>52</v>
      </c>
      <c r="E7" s="5" t="s">
        <v>47</v>
      </c>
      <c r="F7" s="5" t="s">
        <v>47</v>
      </c>
    </row>
    <row r="8" spans="1:6" x14ac:dyDescent="0.2">
      <c r="A8" s="5"/>
      <c r="B8" s="5" t="s">
        <v>59</v>
      </c>
      <c r="C8" s="5" t="s">
        <v>18</v>
      </c>
      <c r="D8" s="5" t="s">
        <v>53</v>
      </c>
      <c r="E8" s="5" t="s">
        <v>45</v>
      </c>
      <c r="F8" s="5" t="s">
        <v>54</v>
      </c>
    </row>
    <row r="9" spans="1:6" x14ac:dyDescent="0.2">
      <c r="A9" s="5" t="s">
        <v>0</v>
      </c>
      <c r="B9" s="5" t="b">
        <v>1</v>
      </c>
      <c r="C9" s="5" t="b">
        <v>0</v>
      </c>
      <c r="D9" s="5" t="b">
        <v>1</v>
      </c>
      <c r="E9" s="5" t="b">
        <v>0</v>
      </c>
      <c r="F9" s="5" t="b">
        <v>1</v>
      </c>
    </row>
    <row r="10" spans="1:6" x14ac:dyDescent="0.2">
      <c r="A10" s="6" t="b">
        <v>1</v>
      </c>
      <c r="B10" s="6">
        <v>0</v>
      </c>
      <c r="C10" s="10" t="s">
        <v>29</v>
      </c>
      <c r="D10" s="10" t="s">
        <v>5</v>
      </c>
      <c r="E10" s="6" t="s">
        <v>29</v>
      </c>
      <c r="F10" s="6">
        <f ca="1">INDIRECT(E$8&amp;"!B"&amp;MATCH(E10,INDIRECT(E$8&amp;"!C:C"),0))</f>
        <v>0</v>
      </c>
    </row>
  </sheetData>
  <dataValidations count="1">
    <dataValidation type="list" allowBlank="1" showInputMessage="1" showErrorMessage="1" sqref="E10:E1048576">
      <formula1>INDIRECT("ImageIds")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50"/>
  </sheetPr>
  <dimension ref="A1:F11"/>
  <sheetViews>
    <sheetView topLeftCell="A7" zoomScaleNormal="100" workbookViewId="0">
      <selection activeCell="F12" sqref="F12"/>
    </sheetView>
  </sheetViews>
  <sheetFormatPr defaultRowHeight="12.75" x14ac:dyDescent="0.2"/>
  <cols>
    <col min="1" max="1" width="9.140625" style="4"/>
    <col min="2" max="2" width="15.7109375" style="4" customWidth="1"/>
    <col min="3" max="3" width="30.7109375" style="4" customWidth="1"/>
    <col min="4" max="4" width="15.7109375" style="4" customWidth="1"/>
    <col min="5" max="5" width="24.7109375" style="4" customWidth="1"/>
    <col min="6" max="6" width="15.7109375" style="4" customWidth="1"/>
    <col min="7" max="16384" width="9.140625" style="4"/>
  </cols>
  <sheetData>
    <row r="1" spans="1:6" hidden="1" x14ac:dyDescent="0.2"/>
    <row r="2" spans="1:6" hidden="1" x14ac:dyDescent="0.2"/>
    <row r="3" spans="1:6" hidden="1" x14ac:dyDescent="0.2"/>
    <row r="4" spans="1:6" hidden="1" x14ac:dyDescent="0.2"/>
    <row r="5" spans="1:6" hidden="1" x14ac:dyDescent="0.2"/>
    <row r="6" spans="1:6" hidden="1" x14ac:dyDescent="0.2"/>
    <row r="7" spans="1:6" x14ac:dyDescent="0.2">
      <c r="A7" s="5"/>
      <c r="B7" s="5" t="s">
        <v>47</v>
      </c>
      <c r="C7" s="5" t="s">
        <v>46</v>
      </c>
      <c r="D7" s="5" t="s">
        <v>52</v>
      </c>
      <c r="E7" s="5" t="s">
        <v>47</v>
      </c>
      <c r="F7" s="5" t="s">
        <v>47</v>
      </c>
    </row>
    <row r="8" spans="1:6" x14ac:dyDescent="0.2">
      <c r="A8" s="5"/>
      <c r="B8" s="5" t="s">
        <v>59</v>
      </c>
      <c r="C8" s="5" t="s">
        <v>18</v>
      </c>
      <c r="D8" s="5" t="s">
        <v>53</v>
      </c>
      <c r="E8" s="5" t="s">
        <v>49</v>
      </c>
      <c r="F8" s="5" t="s">
        <v>55</v>
      </c>
    </row>
    <row r="9" spans="1:6" x14ac:dyDescent="0.2">
      <c r="A9" s="5" t="s">
        <v>0</v>
      </c>
      <c r="B9" s="5" t="b">
        <v>1</v>
      </c>
      <c r="C9" s="5" t="b">
        <v>0</v>
      </c>
      <c r="D9" s="5" t="b">
        <v>1</v>
      </c>
      <c r="E9" s="5" t="b">
        <v>0</v>
      </c>
      <c r="F9" s="5" t="b">
        <v>1</v>
      </c>
    </row>
    <row r="10" spans="1:6" x14ac:dyDescent="0.2">
      <c r="A10" s="6" t="b">
        <v>1</v>
      </c>
      <c r="B10" s="6">
        <v>0</v>
      </c>
      <c r="C10" s="10" t="s">
        <v>104</v>
      </c>
      <c r="D10" s="10" t="s">
        <v>98</v>
      </c>
      <c r="E10" s="6" t="s">
        <v>103</v>
      </c>
      <c r="F10" s="6">
        <f ca="1">INDIRECT(E$8&amp;"!B"&amp;MATCH(E10,INDIRECT(E$8&amp;"!C:C"),0))</f>
        <v>3</v>
      </c>
    </row>
    <row r="11" spans="1:6" x14ac:dyDescent="0.2">
      <c r="A11" s="6" t="b">
        <v>1</v>
      </c>
      <c r="B11" s="6">
        <f>B10+1</f>
        <v>1</v>
      </c>
      <c r="C11" s="10" t="s">
        <v>84</v>
      </c>
      <c r="D11" s="10" t="s">
        <v>99</v>
      </c>
      <c r="E11" s="6" t="s">
        <v>86</v>
      </c>
      <c r="F11" s="6">
        <f ca="1">INDIRECT(E$8&amp;"!B"&amp;MATCH(E11,INDIRECT(E$8&amp;"!C:C"),0))</f>
        <v>4</v>
      </c>
    </row>
  </sheetData>
  <dataValidations count="1">
    <dataValidation type="list" allowBlank="1" showInputMessage="1" showErrorMessage="1" sqref="E10:E1048576">
      <formula1>INDIRECT("TextIds")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50"/>
  </sheetPr>
  <dimension ref="A1:J12"/>
  <sheetViews>
    <sheetView topLeftCell="A7" zoomScaleNormal="100" workbookViewId="0">
      <selection activeCell="C10" sqref="C10"/>
    </sheetView>
  </sheetViews>
  <sheetFormatPr defaultRowHeight="12.75" x14ac:dyDescent="0.2"/>
  <cols>
    <col min="1" max="1" width="9.140625" style="4"/>
    <col min="2" max="2" width="15.7109375" style="4" customWidth="1"/>
    <col min="3" max="3" width="30.7109375" style="4" customWidth="1"/>
    <col min="4" max="4" width="15.7109375" style="4" customWidth="1"/>
    <col min="5" max="5" width="24.7109375" style="4" customWidth="1"/>
    <col min="6" max="6" width="15.7109375" style="4" customWidth="1"/>
    <col min="7" max="7" width="24.7109375" style="4" customWidth="1"/>
    <col min="8" max="8" width="15.7109375" style="4" customWidth="1"/>
    <col min="9" max="9" width="24.7109375" style="4" customWidth="1"/>
    <col min="10" max="10" width="15.7109375" style="4" customWidth="1"/>
    <col min="11" max="16384" width="9.140625" style="4"/>
  </cols>
  <sheetData>
    <row r="1" spans="1:10" hidden="1" x14ac:dyDescent="0.2"/>
    <row r="2" spans="1:10" hidden="1" x14ac:dyDescent="0.2"/>
    <row r="3" spans="1:10" hidden="1" x14ac:dyDescent="0.2"/>
    <row r="4" spans="1:10" hidden="1" x14ac:dyDescent="0.2"/>
    <row r="5" spans="1:10" hidden="1" x14ac:dyDescent="0.2"/>
    <row r="6" spans="1:10" hidden="1" x14ac:dyDescent="0.2"/>
    <row r="7" spans="1:10" x14ac:dyDescent="0.2">
      <c r="A7" s="5"/>
      <c r="B7" s="5" t="s">
        <v>47</v>
      </c>
      <c r="C7" s="5" t="s">
        <v>46</v>
      </c>
      <c r="D7" s="5" t="s">
        <v>52</v>
      </c>
      <c r="E7" s="5" t="s">
        <v>47</v>
      </c>
      <c r="F7" s="5" t="s">
        <v>47</v>
      </c>
      <c r="G7" s="5" t="s">
        <v>47</v>
      </c>
      <c r="H7" s="5" t="s">
        <v>47</v>
      </c>
      <c r="I7" s="5" t="s">
        <v>47</v>
      </c>
      <c r="J7" s="5" t="s">
        <v>47</v>
      </c>
    </row>
    <row r="8" spans="1:10" x14ac:dyDescent="0.2">
      <c r="A8" s="5"/>
      <c r="B8" s="5" t="s">
        <v>59</v>
      </c>
      <c r="C8" s="5" t="s">
        <v>18</v>
      </c>
      <c r="D8" s="5" t="s">
        <v>53</v>
      </c>
      <c r="E8" s="5" t="s">
        <v>45</v>
      </c>
      <c r="F8" s="5" t="s">
        <v>54</v>
      </c>
      <c r="G8" s="5" t="s">
        <v>49</v>
      </c>
      <c r="H8" s="5" t="s">
        <v>55</v>
      </c>
      <c r="I8" s="5" t="s">
        <v>50</v>
      </c>
      <c r="J8" s="5" t="s">
        <v>56</v>
      </c>
    </row>
    <row r="9" spans="1:10" x14ac:dyDescent="0.2">
      <c r="A9" s="5" t="s">
        <v>0</v>
      </c>
      <c r="B9" s="5" t="b">
        <v>1</v>
      </c>
      <c r="C9" s="5" t="b">
        <v>0</v>
      </c>
      <c r="D9" s="5" t="b">
        <v>1</v>
      </c>
      <c r="E9" s="5" t="b">
        <v>0</v>
      </c>
      <c r="F9" s="5" t="b">
        <v>1</v>
      </c>
      <c r="G9" s="5" t="b">
        <v>0</v>
      </c>
      <c r="H9" s="5" t="b">
        <v>1</v>
      </c>
      <c r="I9" s="5" t="b">
        <v>0</v>
      </c>
      <c r="J9" s="5" t="b">
        <v>1</v>
      </c>
    </row>
    <row r="10" spans="1:10" x14ac:dyDescent="0.2">
      <c r="A10" s="6" t="b">
        <v>1</v>
      </c>
      <c r="B10" s="6">
        <v>0</v>
      </c>
      <c r="C10" s="10" t="s">
        <v>41</v>
      </c>
      <c r="D10" s="10" t="s">
        <v>13</v>
      </c>
      <c r="E10" s="6" t="s">
        <v>30</v>
      </c>
      <c r="F10" s="6">
        <f ca="1">INDIRECT(E$8&amp;"!B"&amp;MATCH(E10,INDIRECT(E$8&amp;"!C:C"),0))</f>
        <v>1</v>
      </c>
      <c r="G10" s="6" t="s">
        <v>41</v>
      </c>
      <c r="H10" s="6">
        <f ca="1">INDIRECT(G$8&amp;"!B"&amp;MATCH(G10,INDIRECT(G$8&amp;"!C:C"),0))</f>
        <v>0</v>
      </c>
      <c r="I10" s="6" t="s">
        <v>44</v>
      </c>
      <c r="J10" s="6">
        <f ca="1">INDIRECT(I$8&amp;"!B"&amp;MATCH(I10,INDIRECT(I$8&amp;"!C:C"),0))</f>
        <v>0</v>
      </c>
    </row>
    <row r="11" spans="1:10" x14ac:dyDescent="0.2">
      <c r="A11" s="6" t="b">
        <v>1</v>
      </c>
      <c r="B11" s="6">
        <f>B10+1</f>
        <v>1</v>
      </c>
      <c r="C11" s="10" t="s">
        <v>43</v>
      </c>
      <c r="D11" s="10" t="s">
        <v>14</v>
      </c>
      <c r="E11" s="6" t="s">
        <v>30</v>
      </c>
      <c r="F11" s="6">
        <f t="shared" ref="F11:F12" ca="1" si="0">INDIRECT(E$8&amp;"!B"&amp;MATCH(E11,INDIRECT(E$8&amp;"!C:C"),0))</f>
        <v>1</v>
      </c>
      <c r="G11" s="6" t="s">
        <v>43</v>
      </c>
      <c r="H11" s="6">
        <f t="shared" ref="H11:H12" ca="1" si="1">INDIRECT(G$8&amp;"!B"&amp;MATCH(G11,INDIRECT(G$8&amp;"!C:C"),0))</f>
        <v>1</v>
      </c>
      <c r="I11" s="6" t="s">
        <v>44</v>
      </c>
      <c r="J11" s="6">
        <f t="shared" ref="J11:J12" ca="1" si="2">INDIRECT(I$8&amp;"!B"&amp;MATCH(I11,INDIRECT(I$8&amp;"!C:C"),0))</f>
        <v>0</v>
      </c>
    </row>
    <row r="12" spans="1:10" x14ac:dyDescent="0.2">
      <c r="A12" s="6" t="b">
        <v>1</v>
      </c>
      <c r="B12" s="6">
        <f>B11+1</f>
        <v>2</v>
      </c>
      <c r="C12" s="10" t="s">
        <v>42</v>
      </c>
      <c r="D12" s="10" t="s">
        <v>15</v>
      </c>
      <c r="E12" s="6" t="s">
        <v>30</v>
      </c>
      <c r="F12" s="6">
        <f t="shared" ca="1" si="0"/>
        <v>1</v>
      </c>
      <c r="G12" s="6" t="s">
        <v>42</v>
      </c>
      <c r="H12" s="6">
        <f t="shared" ca="1" si="1"/>
        <v>2</v>
      </c>
      <c r="I12" s="6" t="s">
        <v>44</v>
      </c>
      <c r="J12" s="6">
        <f t="shared" ca="1" si="2"/>
        <v>0</v>
      </c>
    </row>
  </sheetData>
  <dataValidations count="3">
    <dataValidation type="list" allowBlank="1" showInputMessage="1" showErrorMessage="1" sqref="I10:I1048576">
      <formula1>INDIRECT("SoundIds")</formula1>
    </dataValidation>
    <dataValidation type="list" allowBlank="1" showInputMessage="1" showErrorMessage="1" sqref="G10:G1048576">
      <formula1>INDIRECT("TextIds")</formula1>
    </dataValidation>
    <dataValidation type="list" allowBlank="1" showInputMessage="1" showErrorMessage="1" sqref="E10:E1048576">
      <formula1>INDIRECT("ImageIds")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A1:H10"/>
  <sheetViews>
    <sheetView topLeftCell="A7" zoomScaleNormal="100" workbookViewId="0">
      <selection activeCell="C10" sqref="C10"/>
    </sheetView>
  </sheetViews>
  <sheetFormatPr defaultRowHeight="12.75" x14ac:dyDescent="0.2"/>
  <cols>
    <col min="1" max="1" width="9.140625" style="4"/>
    <col min="2" max="2" width="15.7109375" style="4" customWidth="1"/>
    <col min="3" max="3" width="30.7109375" style="4" customWidth="1"/>
    <col min="4" max="4" width="15.7109375" style="4" customWidth="1"/>
    <col min="5" max="5" width="24.7109375" style="4" customWidth="1"/>
    <col min="6" max="6" width="15.7109375" style="4" customWidth="1"/>
    <col min="7" max="7" width="24.7109375" style="4" customWidth="1"/>
    <col min="8" max="8" width="15.7109375" style="4" customWidth="1"/>
    <col min="9" max="16384" width="9.140625" style="4"/>
  </cols>
  <sheetData>
    <row r="1" spans="1:8" hidden="1" x14ac:dyDescent="0.2"/>
    <row r="2" spans="1:8" hidden="1" x14ac:dyDescent="0.2"/>
    <row r="3" spans="1:8" hidden="1" x14ac:dyDescent="0.2"/>
    <row r="4" spans="1:8" hidden="1" x14ac:dyDescent="0.2"/>
    <row r="5" spans="1:8" hidden="1" x14ac:dyDescent="0.2"/>
    <row r="6" spans="1:8" hidden="1" x14ac:dyDescent="0.2"/>
    <row r="7" spans="1:8" x14ac:dyDescent="0.2">
      <c r="A7" s="5"/>
      <c r="B7" s="5" t="s">
        <v>47</v>
      </c>
      <c r="C7" s="5" t="s">
        <v>46</v>
      </c>
      <c r="D7" s="5" t="s">
        <v>52</v>
      </c>
      <c r="E7" s="5" t="s">
        <v>47</v>
      </c>
      <c r="F7" s="5" t="s">
        <v>47</v>
      </c>
      <c r="G7" s="5" t="s">
        <v>47</v>
      </c>
      <c r="H7" s="5" t="s">
        <v>47</v>
      </c>
    </row>
    <row r="8" spans="1:8" x14ac:dyDescent="0.2">
      <c r="A8" s="5"/>
      <c r="B8" s="5" t="s">
        <v>59</v>
      </c>
      <c r="C8" s="5" t="s">
        <v>18</v>
      </c>
      <c r="D8" s="5" t="s">
        <v>53</v>
      </c>
      <c r="E8" s="5" t="s">
        <v>45</v>
      </c>
      <c r="F8" s="5" t="s">
        <v>54</v>
      </c>
      <c r="G8" s="5" t="s">
        <v>49</v>
      </c>
      <c r="H8" s="5" t="s">
        <v>55</v>
      </c>
    </row>
    <row r="9" spans="1:8" x14ac:dyDescent="0.2">
      <c r="A9" s="5" t="s">
        <v>0</v>
      </c>
      <c r="B9" s="5" t="b">
        <v>1</v>
      </c>
      <c r="C9" s="5" t="b">
        <v>0</v>
      </c>
      <c r="D9" s="5" t="b">
        <v>1</v>
      </c>
      <c r="E9" s="5" t="b">
        <v>0</v>
      </c>
      <c r="F9" s="5" t="b">
        <v>1</v>
      </c>
      <c r="G9" s="5" t="b">
        <v>0</v>
      </c>
      <c r="H9" s="5" t="b">
        <v>1</v>
      </c>
    </row>
    <row r="10" spans="1:8" x14ac:dyDescent="0.2">
      <c r="A10" s="6" t="b">
        <v>1</v>
      </c>
      <c r="B10" s="6">
        <v>0</v>
      </c>
      <c r="C10" s="10" t="s">
        <v>31</v>
      </c>
      <c r="D10" s="6" t="s">
        <v>2</v>
      </c>
      <c r="E10" s="6" t="s">
        <v>31</v>
      </c>
      <c r="F10" s="6">
        <f ca="1">INDIRECT(E$8&amp;"!B"&amp;MATCH(E10,INDIRECT(E$8&amp;"!C:C"),0))</f>
        <v>2</v>
      </c>
      <c r="G10" s="6" t="s">
        <v>41</v>
      </c>
      <c r="H10" s="6">
        <f ca="1">INDIRECT(G$8&amp;"!B"&amp;MATCH(G10,INDIRECT(G$8&amp;"!C:C"),0))</f>
        <v>0</v>
      </c>
    </row>
  </sheetData>
  <dataValidations count="2">
    <dataValidation type="list" allowBlank="1" showInputMessage="1" showErrorMessage="1" sqref="E10:E1048576">
      <formula1>INDIRECT("ImageIds")</formula1>
    </dataValidation>
    <dataValidation type="list" allowBlank="1" showInputMessage="1" showErrorMessage="1" sqref="G10:G1048576">
      <formula1>INDIRECT("TextIds")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J10"/>
  <sheetViews>
    <sheetView topLeftCell="A7" zoomScaleNormal="100" workbookViewId="0">
      <selection activeCell="A7" sqref="A7"/>
    </sheetView>
  </sheetViews>
  <sheetFormatPr defaultRowHeight="12.75" x14ac:dyDescent="0.2"/>
  <cols>
    <col min="1" max="1" width="9.140625" style="4"/>
    <col min="2" max="2" width="15.7109375" style="4" customWidth="1"/>
    <col min="3" max="3" width="30.7109375" style="4" customWidth="1"/>
    <col min="4" max="4" width="15.7109375" style="4" customWidth="1"/>
    <col min="5" max="5" width="24.7109375" style="4" customWidth="1"/>
    <col min="6" max="6" width="15.7109375" style="4" customWidth="1"/>
    <col min="7" max="7" width="24.7109375" style="4" customWidth="1"/>
    <col min="8" max="8" width="15.7109375" style="4" customWidth="1"/>
    <col min="9" max="9" width="24.7109375" style="4" customWidth="1"/>
    <col min="10" max="10" width="15.7109375" style="4" customWidth="1"/>
    <col min="11" max="16384" width="9.140625" style="4"/>
  </cols>
  <sheetData>
    <row r="1" spans="1:10" hidden="1" x14ac:dyDescent="0.2"/>
    <row r="2" spans="1:10" hidden="1" x14ac:dyDescent="0.2"/>
    <row r="3" spans="1:10" hidden="1" x14ac:dyDescent="0.2"/>
    <row r="4" spans="1:10" hidden="1" x14ac:dyDescent="0.2"/>
    <row r="5" spans="1:10" hidden="1" x14ac:dyDescent="0.2"/>
    <row r="6" spans="1:10" hidden="1" x14ac:dyDescent="0.2"/>
    <row r="7" spans="1:10" x14ac:dyDescent="0.2">
      <c r="A7" s="5"/>
      <c r="B7" s="5" t="s">
        <v>47</v>
      </c>
      <c r="C7" s="5" t="s">
        <v>46</v>
      </c>
      <c r="D7" s="5" t="s">
        <v>52</v>
      </c>
      <c r="E7" s="5" t="s">
        <v>47</v>
      </c>
      <c r="F7" s="5" t="s">
        <v>47</v>
      </c>
      <c r="G7" s="5" t="s">
        <v>47</v>
      </c>
      <c r="H7" s="5" t="s">
        <v>47</v>
      </c>
      <c r="I7" s="5" t="s">
        <v>47</v>
      </c>
      <c r="J7" s="5" t="s">
        <v>47</v>
      </c>
    </row>
    <row r="8" spans="1:10" x14ac:dyDescent="0.2">
      <c r="A8" s="5"/>
      <c r="B8" s="5" t="s">
        <v>59</v>
      </c>
      <c r="C8" s="5" t="s">
        <v>18</v>
      </c>
      <c r="D8" s="5" t="s">
        <v>53</v>
      </c>
      <c r="E8" s="5" t="s">
        <v>45</v>
      </c>
      <c r="F8" s="5" t="s">
        <v>54</v>
      </c>
      <c r="G8" s="5" t="s">
        <v>49</v>
      </c>
      <c r="H8" s="5" t="s">
        <v>55</v>
      </c>
      <c r="I8" s="5" t="s">
        <v>50</v>
      </c>
      <c r="J8" s="5" t="s">
        <v>56</v>
      </c>
    </row>
    <row r="9" spans="1:10" x14ac:dyDescent="0.2">
      <c r="A9" s="5" t="s">
        <v>0</v>
      </c>
      <c r="B9" s="5" t="b">
        <v>1</v>
      </c>
      <c r="C9" s="5" t="b">
        <v>0</v>
      </c>
      <c r="D9" s="5" t="b">
        <v>1</v>
      </c>
      <c r="E9" s="5" t="b">
        <v>0</v>
      </c>
      <c r="F9" s="5" t="b">
        <v>1</v>
      </c>
      <c r="G9" s="5" t="b">
        <v>0</v>
      </c>
      <c r="H9" s="5" t="b">
        <v>1</v>
      </c>
      <c r="I9" s="5" t="b">
        <v>0</v>
      </c>
      <c r="J9" s="5" t="b">
        <v>1</v>
      </c>
    </row>
    <row r="10" spans="1:10" x14ac:dyDescent="0.2">
      <c r="A10" s="6" t="b">
        <v>1</v>
      </c>
      <c r="B10" s="6">
        <v>0</v>
      </c>
      <c r="C10" s="10" t="s">
        <v>32</v>
      </c>
      <c r="D10" s="6" t="s">
        <v>3</v>
      </c>
      <c r="E10" s="6" t="s">
        <v>32</v>
      </c>
      <c r="F10" s="6">
        <f ca="1">INDIRECT(E$8&amp;"!B"&amp;MATCH(E10,INDIRECT(E$8&amp;"!C:C"),0))</f>
        <v>3</v>
      </c>
      <c r="G10" s="6" t="s">
        <v>41</v>
      </c>
      <c r="H10" s="6">
        <f ca="1">INDIRECT(G$8&amp;"!B"&amp;MATCH(G10,INDIRECT(G$8&amp;"!C:C"),0))</f>
        <v>0</v>
      </c>
      <c r="I10" s="6" t="s">
        <v>44</v>
      </c>
      <c r="J10" s="6">
        <f ca="1">INDIRECT(I$8&amp;"!B"&amp;MATCH(I10,INDIRECT(I$8&amp;"!C:C"),0))</f>
        <v>0</v>
      </c>
    </row>
  </sheetData>
  <dataValidations count="3">
    <dataValidation type="list" allowBlank="1" showInputMessage="1" showErrorMessage="1" sqref="E10:E1048576">
      <formula1>INDIRECT("ImageIds")</formula1>
    </dataValidation>
    <dataValidation type="list" allowBlank="1" showInputMessage="1" showErrorMessage="1" sqref="G10:G1048576">
      <formula1>INDIRECT("TextIds")</formula1>
    </dataValidation>
    <dataValidation type="list" allowBlank="1" showInputMessage="1" showErrorMessage="1" sqref="I10:I1048576">
      <formula1>INDIRECT("SoundIds")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J10"/>
  <sheetViews>
    <sheetView topLeftCell="A7" zoomScaleNormal="100" workbookViewId="0">
      <selection activeCell="A7" sqref="A7"/>
    </sheetView>
  </sheetViews>
  <sheetFormatPr defaultRowHeight="12.75" x14ac:dyDescent="0.2"/>
  <cols>
    <col min="1" max="1" width="9.140625" style="4"/>
    <col min="2" max="2" width="15.7109375" style="4" customWidth="1"/>
    <col min="3" max="3" width="30.7109375" style="4" customWidth="1"/>
    <col min="4" max="4" width="15.7109375" style="4" customWidth="1"/>
    <col min="5" max="5" width="24.7109375" style="4" customWidth="1"/>
    <col min="6" max="9" width="15.7109375" style="4" customWidth="1"/>
    <col min="10" max="10" width="30.7109375" style="4" customWidth="1"/>
    <col min="11" max="16384" width="9.140625" style="4"/>
  </cols>
  <sheetData>
    <row r="1" spans="1:10" hidden="1" x14ac:dyDescent="0.2"/>
    <row r="2" spans="1:10" hidden="1" x14ac:dyDescent="0.2"/>
    <row r="3" spans="1:10" hidden="1" x14ac:dyDescent="0.2"/>
    <row r="4" spans="1:10" hidden="1" x14ac:dyDescent="0.2"/>
    <row r="5" spans="1:10" hidden="1" x14ac:dyDescent="0.2"/>
    <row r="6" spans="1:10" hidden="1" x14ac:dyDescent="0.2"/>
    <row r="7" spans="1:10" x14ac:dyDescent="0.2">
      <c r="A7" s="5"/>
      <c r="B7" s="5" t="s">
        <v>47</v>
      </c>
      <c r="C7" s="5" t="s">
        <v>46</v>
      </c>
      <c r="D7" s="5" t="s">
        <v>52</v>
      </c>
      <c r="E7" s="5" t="s">
        <v>47</v>
      </c>
      <c r="F7" s="5" t="s">
        <v>47</v>
      </c>
      <c r="G7" s="5" t="s">
        <v>47</v>
      </c>
      <c r="H7" s="5" t="s">
        <v>47</v>
      </c>
      <c r="I7" s="5" t="s">
        <v>47</v>
      </c>
      <c r="J7" s="5" t="s">
        <v>52</v>
      </c>
    </row>
    <row r="8" spans="1:10" x14ac:dyDescent="0.2">
      <c r="A8" s="5"/>
      <c r="B8" s="5" t="s">
        <v>59</v>
      </c>
      <c r="C8" s="5" t="s">
        <v>18</v>
      </c>
      <c r="D8" s="5" t="s">
        <v>53</v>
      </c>
      <c r="E8" s="5" t="s">
        <v>45</v>
      </c>
      <c r="F8" s="5" t="s">
        <v>54</v>
      </c>
      <c r="G8" s="5" t="s">
        <v>48</v>
      </c>
      <c r="H8" s="5" t="s">
        <v>24</v>
      </c>
      <c r="I8" s="5" t="s">
        <v>57</v>
      </c>
      <c r="J8" s="5" t="s">
        <v>58</v>
      </c>
    </row>
    <row r="9" spans="1:10" x14ac:dyDescent="0.2">
      <c r="A9" s="5" t="s">
        <v>0</v>
      </c>
      <c r="B9" s="5" t="b">
        <v>1</v>
      </c>
      <c r="C9" s="5" t="b">
        <v>0</v>
      </c>
      <c r="D9" s="5" t="b">
        <v>1</v>
      </c>
      <c r="E9" s="5" t="b">
        <v>0</v>
      </c>
      <c r="F9" s="5" t="b">
        <v>1</v>
      </c>
      <c r="G9" s="5" t="b">
        <v>0</v>
      </c>
      <c r="H9" s="5" t="b">
        <v>1</v>
      </c>
      <c r="I9" s="5" t="b">
        <v>1</v>
      </c>
      <c r="J9" s="5" t="b">
        <v>1</v>
      </c>
    </row>
    <row r="10" spans="1:10" x14ac:dyDescent="0.2">
      <c r="A10" s="6" t="b">
        <v>1</v>
      </c>
      <c r="B10" s="6">
        <v>0</v>
      </c>
      <c r="C10" s="10" t="s">
        <v>63</v>
      </c>
      <c r="D10" s="6" t="s">
        <v>4</v>
      </c>
      <c r="E10" s="6" t="s">
        <v>33</v>
      </c>
      <c r="F10" s="6">
        <f ca="1">INDIRECT(E$8&amp;"!B"&amp;MATCH(E10,INDIRECT(E$8&amp;"!C:C"),0))</f>
        <v>4</v>
      </c>
      <c r="G10" s="6" t="s">
        <v>35</v>
      </c>
      <c r="H10" s="6">
        <f ca="1">INDIRECT(G$8&amp;"!B"&amp;MATCH(G10,INDIRECT(G$8&amp;"!C:C"),0))</f>
        <v>0</v>
      </c>
      <c r="I10" s="6">
        <v>32</v>
      </c>
      <c r="J10" s="6" t="s">
        <v>1</v>
      </c>
    </row>
  </sheetData>
  <dataValidations count="2">
    <dataValidation type="list" allowBlank="1" showInputMessage="1" showErrorMessage="1" sqref="G10:G1048576">
      <formula1>INDIRECT("FontIds")</formula1>
    </dataValidation>
    <dataValidation type="list" allowBlank="1" showInputMessage="1" showErrorMessage="1" sqref="E10:E1048576">
      <formula1>INDIRECT("ImageIds")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1:M11"/>
  <sheetViews>
    <sheetView topLeftCell="A7" zoomScaleNormal="100" workbookViewId="0">
      <selection activeCell="L10" sqref="L10"/>
    </sheetView>
  </sheetViews>
  <sheetFormatPr defaultRowHeight="12.75" x14ac:dyDescent="0.2"/>
  <cols>
    <col min="1" max="1" width="9.140625" style="4"/>
    <col min="2" max="2" width="15.7109375" style="4" customWidth="1"/>
    <col min="3" max="3" width="30.7109375" style="4" customWidth="1"/>
    <col min="4" max="5" width="15.7109375" style="4" customWidth="1"/>
    <col min="6" max="6" width="30.7109375" style="4" customWidth="1"/>
    <col min="7" max="8" width="15.7109375" style="4" customWidth="1"/>
    <col min="9" max="9" width="30.7109375" style="4" customWidth="1"/>
    <col min="10" max="11" width="15.7109375" style="4" customWidth="1"/>
    <col min="12" max="12" width="30.7109375" style="4" customWidth="1"/>
    <col min="13" max="13" width="15.7109375" style="4" customWidth="1"/>
    <col min="14" max="16384" width="9.140625" style="4"/>
  </cols>
  <sheetData>
    <row r="1" spans="1:13" hidden="1" x14ac:dyDescent="0.2"/>
    <row r="2" spans="1:13" hidden="1" x14ac:dyDescent="0.2"/>
    <row r="3" spans="1:13" hidden="1" x14ac:dyDescent="0.2"/>
    <row r="4" spans="1:13" hidden="1" x14ac:dyDescent="0.2"/>
    <row r="5" spans="1:13" hidden="1" x14ac:dyDescent="0.2"/>
    <row r="6" spans="1:13" hidden="1" x14ac:dyDescent="0.2"/>
    <row r="7" spans="1:13" x14ac:dyDescent="0.2">
      <c r="A7" s="5"/>
      <c r="B7" s="5" t="s">
        <v>47</v>
      </c>
      <c r="C7" s="5" t="s">
        <v>46</v>
      </c>
      <c r="D7" s="5" t="s">
        <v>52</v>
      </c>
      <c r="E7" s="5" t="s">
        <v>46</v>
      </c>
      <c r="F7" s="5" t="s">
        <v>46</v>
      </c>
      <c r="G7" s="5" t="s">
        <v>47</v>
      </c>
      <c r="H7" s="5" t="s">
        <v>46</v>
      </c>
      <c r="I7" s="5" t="s">
        <v>46</v>
      </c>
      <c r="J7" s="5" t="s">
        <v>47</v>
      </c>
      <c r="K7" s="5" t="s">
        <v>46</v>
      </c>
      <c r="L7" s="5" t="s">
        <v>46</v>
      </c>
      <c r="M7" s="5" t="s">
        <v>47</v>
      </c>
    </row>
    <row r="8" spans="1:13" x14ac:dyDescent="0.2">
      <c r="A8" s="5"/>
      <c r="B8" s="5" t="s">
        <v>59</v>
      </c>
      <c r="C8" s="5" t="s">
        <v>18</v>
      </c>
      <c r="D8" s="5" t="s">
        <v>53</v>
      </c>
      <c r="E8" s="5" t="s">
        <v>87</v>
      </c>
      <c r="F8" s="5" t="s">
        <v>88</v>
      </c>
      <c r="G8" s="5" t="s">
        <v>89</v>
      </c>
      <c r="H8" s="5" t="s">
        <v>90</v>
      </c>
      <c r="I8" s="5" t="s">
        <v>91</v>
      </c>
      <c r="J8" s="5" t="s">
        <v>92</v>
      </c>
      <c r="K8" s="5" t="s">
        <v>93</v>
      </c>
      <c r="L8" s="5" t="s">
        <v>94</v>
      </c>
      <c r="M8" s="5" t="s">
        <v>95</v>
      </c>
    </row>
    <row r="9" spans="1:13" x14ac:dyDescent="0.2">
      <c r="A9" s="5" t="s">
        <v>0</v>
      </c>
      <c r="B9" s="5" t="b">
        <v>1</v>
      </c>
      <c r="C9" s="5" t="b">
        <v>0</v>
      </c>
      <c r="D9" s="5" t="b">
        <v>1</v>
      </c>
      <c r="E9" s="5" t="b">
        <v>1</v>
      </c>
      <c r="F9" s="5" t="b">
        <v>0</v>
      </c>
      <c r="G9" s="5" t="b">
        <v>1</v>
      </c>
      <c r="H9" s="5" t="b">
        <v>1</v>
      </c>
      <c r="I9" s="5" t="b">
        <v>0</v>
      </c>
      <c r="J9" s="5" t="b">
        <v>1</v>
      </c>
      <c r="K9" s="5" t="b">
        <v>1</v>
      </c>
      <c r="L9" s="5" t="b">
        <v>0</v>
      </c>
      <c r="M9" s="5" t="b">
        <v>1</v>
      </c>
    </row>
    <row r="10" spans="1:13" x14ac:dyDescent="0.2">
      <c r="A10" s="6" t="b">
        <v>1</v>
      </c>
      <c r="B10" s="6">
        <v>0</v>
      </c>
      <c r="C10" s="10" t="s">
        <v>65</v>
      </c>
      <c r="D10" s="10" t="s">
        <v>16</v>
      </c>
      <c r="E10" s="10" t="s">
        <v>61</v>
      </c>
      <c r="F10" s="10" t="s">
        <v>41</v>
      </c>
      <c r="G10" s="10">
        <f ca="1">INDIRECT(E10&amp;"!B"&amp;MATCH(F10,INDIRECT(E10&amp;"!C:C"),0))</f>
        <v>0</v>
      </c>
      <c r="H10" s="10" t="s">
        <v>61</v>
      </c>
      <c r="I10" s="10" t="s">
        <v>43</v>
      </c>
      <c r="J10" s="10">
        <f ca="1">INDIRECT(H10&amp;"!B"&amp;MATCH(I10,INDIRECT(H10&amp;"!C:C"),0))</f>
        <v>1</v>
      </c>
      <c r="K10" s="10" t="s">
        <v>61</v>
      </c>
      <c r="L10" s="10" t="s">
        <v>42</v>
      </c>
      <c r="M10" s="10">
        <f ca="1">INDIRECT(K10&amp;"!B"&amp;MATCH(L10,INDIRECT(K10&amp;"!C:C"),0))</f>
        <v>2</v>
      </c>
    </row>
    <row r="11" spans="1:13" x14ac:dyDescent="0.2">
      <c r="A11" s="6" t="b">
        <v>1</v>
      </c>
      <c r="B11" s="6">
        <f>B10+1</f>
        <v>1</v>
      </c>
      <c r="C11" s="12" t="s">
        <v>82</v>
      </c>
      <c r="D11" s="10" t="s">
        <v>83</v>
      </c>
      <c r="E11" s="10" t="s">
        <v>62</v>
      </c>
      <c r="F11" s="10" t="s">
        <v>104</v>
      </c>
      <c r="G11" s="10">
        <f ca="1">INDIRECT(E11&amp;"!B"&amp;MATCH(F11,INDIRECT(E11&amp;"!C:C"),0))</f>
        <v>0</v>
      </c>
      <c r="H11" s="10" t="s">
        <v>62</v>
      </c>
      <c r="I11" s="10" t="s">
        <v>84</v>
      </c>
      <c r="J11" s="10">
        <f ca="1">INDIRECT(H11&amp;"!B"&amp;MATCH(I11,INDIRECT(H11&amp;"!C:C"),0))</f>
        <v>1</v>
      </c>
      <c r="K11" s="10"/>
      <c r="L11" s="10"/>
      <c r="M11" s="10"/>
    </row>
  </sheetData>
  <dataValidations count="1">
    <dataValidation type="list" allowBlank="1" showInputMessage="1" showErrorMessage="1" sqref="F10:F11 I10:I11 L10:L11">
      <formula1>INDIRECT(E10&amp;"Ids")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DESC!$A$9:$A$14</xm:f>
          </x14:formula1>
          <xm:sqref>E10:E11 H10:H11 K10:K11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DESC</vt:lpstr>
      <vt:lpstr>Image</vt:lpstr>
      <vt:lpstr>String</vt:lpstr>
      <vt:lpstr>Font</vt:lpstr>
      <vt:lpstr>Text</vt:lpstr>
      <vt:lpstr>Sound</vt:lpstr>
      <vt:lpstr>Music</vt:lpstr>
      <vt:lpstr>ImageBox</vt:lpstr>
      <vt:lpstr>Label</vt:lpstr>
      <vt:lpstr>Button</vt:lpstr>
      <vt:lpstr>Checkbox</vt:lpstr>
      <vt:lpstr>RadioButton</vt:lpstr>
      <vt:lpstr>Textbox</vt:lpstr>
      <vt:lpstr>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Damyan Damyanov</dc:creator>
  <cp:lastModifiedBy>Damyan</cp:lastModifiedBy>
  <dcterms:created xsi:type="dcterms:W3CDTF">2023-03-26T12:56:31Z</dcterms:created>
  <dcterms:modified xsi:type="dcterms:W3CDTF">2025-04-01T05:26:34Z</dcterms:modified>
</cp:coreProperties>
</file>