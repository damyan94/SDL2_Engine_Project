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ASSETS" sheetId="2" r:id="rId3"/>
    <sheet name="UI" sheetId="10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/>
  <c r="C13" i="1"/>
  <c r="C12" i="1"/>
  <c r="C11" i="1"/>
  <c r="C10" i="1"/>
  <c r="C9" i="1"/>
  <c r="C8" i="1"/>
  <c r="C3" i="1"/>
  <c r="C4" i="1"/>
  <c r="C5" i="1"/>
  <c r="C6" i="1"/>
  <c r="C7" i="1"/>
  <c r="B9" i="1" l="1"/>
  <c r="B10" i="1"/>
  <c r="B11" i="1"/>
  <c r="B12" i="1"/>
  <c r="B13" i="1"/>
  <c r="B14" i="1"/>
  <c r="B8" i="1"/>
  <c r="B4" i="1" l="1"/>
  <c r="B5" i="1"/>
  <c r="B6" i="1"/>
  <c r="B7" i="1"/>
  <c r="B3" i="1"/>
</calcChain>
</file>

<file path=xl/sharedStrings.xml><?xml version="1.0" encoding="utf-8"?>
<sst xmlns="http://schemas.openxmlformats.org/spreadsheetml/2006/main" count="185" uniqueCount="115">
  <si>
    <t>id</t>
  </si>
  <si>
    <t>file_name</t>
  </si>
  <si>
    <t>frames</t>
  </si>
  <si>
    <t>int</t>
  </si>
  <si>
    <t>string</t>
  </si>
  <si>
    <t>size</t>
  </si>
  <si>
    <t>wrap_align</t>
  </si>
  <si>
    <t>en</t>
  </si>
  <si>
    <t>int_array</t>
  </si>
  <si>
    <t>color</t>
  </si>
  <si>
    <t>0,127,127,255</t>
  </si>
  <si>
    <t>bg</t>
  </si>
  <si>
    <t>font_id</t>
  </si>
  <si>
    <t>volume</t>
  </si>
  <si>
    <t>Export?</t>
  </si>
  <si>
    <t>"assets/images/logo_big.png"</t>
  </si>
  <si>
    <t>"assets/fonts/Consola.ttf"</t>
  </si>
  <si>
    <t>"Hello\nWorld"</t>
  </si>
  <si>
    <t>"Здравей\nСвят"</t>
  </si>
  <si>
    <t>"assets/sounds/clicks/mouse_click.wav"</t>
  </si>
  <si>
    <t>image</t>
  </si>
  <si>
    <t>font</t>
  </si>
  <si>
    <t>text</t>
  </si>
  <si>
    <t>sound</t>
  </si>
  <si>
    <t>music</t>
  </si>
  <si>
    <t>wrap_width</t>
  </si>
  <si>
    <t>0,0,0,255</t>
  </si>
  <si>
    <t>"Click me!"</t>
  </si>
  <si>
    <t>"Шляпай ме!"</t>
  </si>
  <si>
    <t>"assets/images/ui/checkbox.png"</t>
  </si>
  <si>
    <t>"Some text"</t>
  </si>
  <si>
    <t>"Някакъв текст"</t>
  </si>
  <si>
    <t>"assets/images/ui/radio_button.png"</t>
  </si>
  <si>
    <t>"Radio button text"</t>
  </si>
  <si>
    <t>"Текст на радио бутона"</t>
  </si>
  <si>
    <t>"assets/images/ui/button_120x24.png"</t>
  </si>
  <si>
    <t>"assets/fonts/Arial.ttf"</t>
  </si>
  <si>
    <t>"assets/images/ui/textbox_280x24.png"</t>
  </si>
  <si>
    <t>"logo_big"</t>
  </si>
  <si>
    <t>"button_120x24"</t>
  </si>
  <si>
    <t>"checkbox"</t>
  </si>
  <si>
    <t>"radio_button"</t>
  </si>
  <si>
    <t>"textbox_280x24"</t>
  </si>
  <si>
    <t>"consola_12"</t>
  </si>
  <si>
    <t>"consola_14"</t>
  </si>
  <si>
    <t>"consola_18"</t>
  </si>
  <si>
    <t>"arial_12"</t>
  </si>
  <si>
    <t>"arial_14"</t>
  </si>
  <si>
    <t>"arial_18"</t>
  </si>
  <si>
    <t>"label_hello_world"</t>
  </si>
  <si>
    <t>"button_click_me"</t>
  </si>
  <si>
    <t>"checkbox_some_text"</t>
  </si>
  <si>
    <t>"radio_button_text"</t>
  </si>
  <si>
    <t>"mouse_click"</t>
  </si>
  <si>
    <t>type</t>
  </si>
  <si>
    <t>"image"</t>
  </si>
  <si>
    <t>"font"</t>
  </si>
  <si>
    <t>"text"</t>
  </si>
  <si>
    <t>"sound"</t>
  </si>
  <si>
    <t>"music"</t>
  </si>
  <si>
    <t>start_line</t>
  </si>
  <si>
    <t>type="image";id="logo_big";file_name="assets/images/logo_big.png";frames=1;</t>
  </si>
  <si>
    <t>type="image";id="button_120x24";file_name="assets/images/ui/button_120x24.png";frames=3;</t>
  </si>
  <si>
    <t>type="image";id="checkbox";file_name="assets/images/ui/checkbox.png";frames=2;</t>
  </si>
  <si>
    <t>type="image";id="radio_button";file_name="assets/images/ui/radio_button.png";frames=2;</t>
  </si>
  <si>
    <t>type="image";id="textbox_280x24";file_name="assets/images/ui/textbox_280x24.png";frames=1;</t>
  </si>
  <si>
    <t>type="font";id="consola_12";file_name="assets/fonts/Consola.ttf";size=12;wrap_align=1;</t>
  </si>
  <si>
    <t>type="font";id="consola_14";file_name="assets/fonts/Consola.ttf";size=14;wrap_align=1;</t>
  </si>
  <si>
    <t>type="font";id="consola_18";file_name="assets/fonts/Consola.ttf";size=18;wrap_align=1;</t>
  </si>
  <si>
    <t>type="font";id="arial_12";file_name="assets/fonts/Arial.ttf";size=12;wrap_align=1;</t>
  </si>
  <si>
    <t>type="font";id="arial_14";file_name="assets/fonts/Arial.ttf";size=14;wrap_align=1;</t>
  </si>
  <si>
    <t>type="font";id="arial_18";file_name="assets/fonts/Arial.ttf";size=18;wrap_align=1;</t>
  </si>
  <si>
    <t>type="text";id="label_hello_world";color=0,127,127,255;font_id="consola_18";wrap_width=0;en="Hello\nWorld";bg="Здравей\nСвят";</t>
  </si>
  <si>
    <t>type="text";id="button_click_me";color=0,0,0,255;font_id="arial_12";wrap_width=100;en="Click me!";bg="Шляпай ме!";</t>
  </si>
  <si>
    <t>type="text";id="checkbox_some_text";color=0,0,0,255;font_id="arial_12";wrap_width=0;en="Some text";bg="Някакъв текст";</t>
  </si>
  <si>
    <t>type="text";id="radio_button_text";color=0,0,0,255;font_id="arial_12";wrap_width=0;en="Radio button text";bg="Текст на радио бутона";</t>
  </si>
  <si>
    <t>type="sound";id="mouse_click";file_name="assets/sounds/clicks/mouse_click.wav";volume=128;</t>
  </si>
  <si>
    <t>position</t>
  </si>
  <si>
    <t>image_id</t>
  </si>
  <si>
    <t>text_id</t>
  </si>
  <si>
    <t>sound_id</t>
  </si>
  <si>
    <t>max_chars</t>
  </si>
  <si>
    <t>text_color</t>
  </si>
  <si>
    <t>"button"</t>
  </si>
  <si>
    <t>100,400</t>
  </si>
  <si>
    <t>100,450</t>
  </si>
  <si>
    <t>100,500</t>
  </si>
  <si>
    <t>"textbox"</t>
  </si>
  <si>
    <t>100,550</t>
  </si>
  <si>
    <t>components_ids</t>
  </si>
  <si>
    <t>"start_menu"</t>
  </si>
  <si>
    <t>"button","checkbox","radio_button","textbox"</t>
  </si>
  <si>
    <t>"label"</t>
  </si>
  <si>
    <t>"menu"</t>
  </si>
  <si>
    <t>300,50</t>
  </si>
  <si>
    <t>50,250</t>
  </si>
  <si>
    <t>type="label";id="label_hello_world";position=50,250;text_id="label_hello_world";</t>
  </si>
  <si>
    <t>menu</t>
  </si>
  <si>
    <t>textbox</t>
  </si>
  <si>
    <t>radio_button</t>
  </si>
  <si>
    <t>checkbox</t>
  </si>
  <si>
    <t>button</t>
  </si>
  <si>
    <t>label</t>
  </si>
  <si>
    <t>"ui_image"</t>
  </si>
  <si>
    <t>ui_image</t>
  </si>
  <si>
    <t>type="ui_image";id="logo_big";position=300,50;image_id="logo_big";</t>
  </si>
  <si>
    <t>end_line</t>
  </si>
  <si>
    <t>image=1;font=6;text=12;sound=16;music=17;ui_image=17;label=18;button=19;checkbox=20;radio_button=21;textbox=22;menu=23;</t>
  </si>
  <si>
    <t>type="button";id="button";position=100,400;image_id="button_120x24";text_id="button_click_me";sound_id="mouse_click";</t>
  </si>
  <si>
    <t>type="checkbox";id="checkbox";position=100,450;image_id="checkbox";text_id="checkbox_some_text";sound_id="mouse_click";</t>
  </si>
  <si>
    <t>type="radio_button";id="radio_button";position=100,500;image_id="radio_button";text_id="radio_button_text";sound_id="mouse_click";</t>
  </si>
  <si>
    <t>type="textbox";id="textbox";position=100,550;image_id="textbox_280x24";font_id="consola_12";max_chars=32;text_color=0,0,0,255;</t>
  </si>
  <si>
    <t>Assets &amp; objects lookup data</t>
  </si>
  <si>
    <t>90,390,300,200</t>
  </si>
  <si>
    <t>type="menu";id="start_menu";position=90,390,300,200;components_ids="button","checkbox","radio_button","textbox";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</si>
</sst>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/>
    <xf numFmtId="0" fontId="0" fillId="3" borderId="1" xfId="0" applyFill="1" applyBorder="1"/>
    <xf numFmtId="3" fontId="0" fillId="3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3" fontId="0" fillId="4" borderId="1" xfId="0" applyNumberFormat="1" applyFill="1" applyBorder="1"/>
    <xf numFmtId="0" fontId="0" fillId="5" borderId="1" xfId="0" applyFill="1" applyBorder="1"/>
    <xf numFmtId="3" fontId="0" fillId="5" borderId="1" xfId="0" applyNumberFormat="1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3" fontId="0" fillId="7" borderId="1" xfId="0" applyNumberFormat="1" applyFill="1" applyBorder="1"/>
    <xf numFmtId="0" fontId="0" fillId="8" borderId="1" xfId="0" applyFill="1" applyBorder="1"/>
    <xf numFmtId="3" fontId="0" fillId="8" borderId="1" xfId="0" applyNumberFormat="1" applyFill="1" applyBorder="1"/>
    <xf numFmtId="0" fontId="0" fillId="9" borderId="1" xfId="0" applyFill="1" applyBorder="1"/>
    <xf numFmtId="3" fontId="0" fillId="10" borderId="0" xfId="0" applyNumberFormat="1" applyFill="1" applyBorder="1"/>
    <xf numFmtId="3" fontId="0" fillId="11" borderId="1" xfId="0" applyNumberFormat="1" applyFill="1" applyBorder="1"/>
    <xf numFmtId="3" fontId="0" fillId="9" borderId="2" xfId="0" applyNumberFormat="1" applyFill="1" applyBorder="1"/>
    <xf numFmtId="3" fontId="0" fillId="9" borderId="0" xfId="0" applyNumberFormat="1" applyFill="1" applyBorder="1"/>
  </cellXfs>
  <cellStyles count="1">
    <cellStyle name="Normal" xfId="0" builtinId="0"/>
  </cellStyles>
  <dxfs count="51"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>
        <left/>
        <right/>
        <top style="thin">
          <color indexed="64"/>
        </top>
        <bottom/>
        <vertical/>
        <horizontal/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59999389629810485"/>
        </patternFill>
      </fill>
    </dxf>
    <dxf>
      <border outline="0"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rgb="FF000000"/>
          <bgColor rgb="FFB4C6E7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rgb="FF000000"/>
          <bgColor rgb="FFFFE699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rgb="FF000000"/>
          <bgColor rgb="FFDBDBDB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rgb="FF000000"/>
          <bgColor rgb="FFF8CBAD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rgb="FF000000"/>
          <bgColor rgb="FFBDD7EE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indexed="64"/>
          <bgColor theme="4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_IDS" displayName="IMAGE_IDS" ref="C10:C14" headerRowCount="0" totalsRowShown="0" headerRowDxfId="50" dataDxfId="49">
  <tableColumns count="1">
    <tableColumn id="1" name="Column1" headerRowDxfId="48" dataDxfId="47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3" name="FONT_IDS" displayName="FONT_IDS" ref="C15:C20" headerRowCount="0" totalsRowShown="0" headerRowDxfId="46" dataDxfId="45">
  <tableColumns count="1">
    <tableColumn id="1" name="Column1" headerRowDxfId="44" dataDxfId="43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5" name="TEXT_IDS" displayName="TEXT_IDS" ref="C21:C24" headerRowCount="0" totalsRowShown="0" headerRowDxfId="42" dataDxfId="41">
  <tableColumns count="1">
    <tableColumn id="1" name="Column1" headerRowDxfId="40" dataDxfId="39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7" name="SOUND_IDS" displayName="SOUND_IDS" ref="C25" headerRowCount="0" totalsRowShown="0" headerRowDxfId="38" dataDxfId="37">
  <tableColumns count="1">
    <tableColumn id="1" name="Column1" headerRowDxfId="36" dataDxfId="35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8" name="MUSIC_IDS" displayName="MUSIC_IDS" ref="C26" headerRowCount="0" totalsRowShown="0" headerRowDxfId="34" dataDxfId="33">
  <tableColumns count="1">
    <tableColumn id="1" name="Column1" headerRowDxfId="32" dataDxfId="31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id="1" name="IMAGE_IDS2" displayName="IMAGE_IDS2" ref="C10" headerRowCount="0" totalsRowShown="0" headerRowDxfId="30" dataDxfId="29">
  <tableColumns count="1">
    <tableColumn id="1" name="Column1" headerRowDxfId="28" dataDxfId="27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2" name="LABEL_IDS" displayName="LABEL_IDS" ref="C11" headerRowCount="0" totalsRowShown="0" headerRowDxfId="26" dataDxfId="25">
  <tableColumns count="1">
    <tableColumn id="1" name="Column1" headerRowDxfId="24" dataDxfId="23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BUTTON_IDS" displayName="BUTTON_IDS" ref="C12" headerRowCount="0" totalsRowShown="0" headerRowDxfId="22" dataDxfId="21">
  <tableColumns count="1">
    <tableColumn id="1" name="Column1" headerRowDxfId="20" dataDxfId="19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9" name="CHECKBOX_IDS" displayName="CHECKBOX_IDS" ref="C13" headerRowCount="0" totalsRowShown="0" headerRowDxfId="18" dataDxfId="17">
  <tableColumns count="1">
    <tableColumn id="1" name="Column1" headerRowDxfId="16" dataDxfId="15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10" name="RADIOBUTTON_IDS" displayName="RADIOBUTTON_IDS" ref="C14" headerRowCount="0" totalsRowShown="0" headerRowDxfId="14" dataDxfId="13">
  <tableColumns count="1">
    <tableColumn id="1" name="Column1" headerRowDxfId="12" dataDxfId="11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11" name="TEXTBOX_IDS" displayName="TEXTBOX_IDS" ref="C15" headerRowCount="0" totalsRowShown="0" headerRowDxfId="10" dataDxfId="9">
  <tableColumns count="1">
    <tableColumn id="1" name="Column1" headerRowDxfId="8" dataDxfId="7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12" name="MENU_IDS" displayName="MENU_IDS" ref="C16" headerRowCount="0" totalsRowShown="0" headerRowDxfId="6" dataDxfId="4" headerRowBorderDxfId="5" tableBorderDxfId="3" totalsRowBorderDxfId="2">
  <tableColumns count="1">
    <tableColumn id="1" name="Column1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24"/>
  <sheetViews>
    <sheetView tabSelected="1" workbookViewId="0"/>
  </sheetViews>
  <sheetFormatPr defaultRowHeight="12.75" x14ac:dyDescent="0.2"/>
  <sheetData>
    <row r="1" spans="1:1" x14ac:dyDescent="0.2">
      <c r="A1" t="s">
        <v>107</v>
      </c>
    </row>
    <row r="2" spans="1:1" x14ac:dyDescent="0.2">
      <c r="A2" t="s">
        <v>61</v>
      </c>
    </row>
    <row r="3" spans="1:1" x14ac:dyDescent="0.2">
      <c r="A3" t="s">
        <v>62</v>
      </c>
    </row>
    <row r="4" spans="1:1" x14ac:dyDescent="0.2">
      <c r="A4" t="s">
        <v>63</v>
      </c>
    </row>
    <row r="5" spans="1:1" x14ac:dyDescent="0.2">
      <c r="A5" t="s">
        <v>64</v>
      </c>
    </row>
    <row r="6" spans="1:1" x14ac:dyDescent="0.2">
      <c r="A6" t="s">
        <v>65</v>
      </c>
    </row>
    <row r="7" spans="1:1" x14ac:dyDescent="0.2">
      <c r="A7" t="s">
        <v>66</v>
      </c>
    </row>
    <row r="8" spans="1:1" x14ac:dyDescent="0.2">
      <c r="A8" t="s">
        <v>67</v>
      </c>
    </row>
    <row r="9" spans="1:1" x14ac:dyDescent="0.2">
      <c r="A9" t="s">
        <v>68</v>
      </c>
    </row>
    <row r="10" spans="1:1" x14ac:dyDescent="0.2">
      <c r="A10" t="s">
        <v>69</v>
      </c>
    </row>
    <row r="11" spans="1:1" x14ac:dyDescent="0.2">
      <c r="A11" t="s">
        <v>70</v>
      </c>
    </row>
    <row r="12" spans="1:1" x14ac:dyDescent="0.2">
      <c r="A12" t="s">
        <v>71</v>
      </c>
    </row>
    <row r="13" spans="1:1" x14ac:dyDescent="0.2">
      <c r="A13" t="s">
        <v>72</v>
      </c>
    </row>
    <row r="14" spans="1:1" x14ac:dyDescent="0.2">
      <c r="A14" t="s">
        <v>73</v>
      </c>
    </row>
    <row r="15" spans="1:1" x14ac:dyDescent="0.2">
      <c r="A15" t="s">
        <v>74</v>
      </c>
    </row>
    <row r="16" spans="1:1" x14ac:dyDescent="0.2">
      <c r="A16" t="s">
        <v>75</v>
      </c>
    </row>
    <row r="17" spans="1:1" x14ac:dyDescent="0.2">
      <c r="A17" t="s">
        <v>76</v>
      </c>
    </row>
    <row r="18" spans="1:1" x14ac:dyDescent="0.2">
      <c r="A18" t="s">
        <v>105</v>
      </c>
    </row>
    <row r="19" spans="1:1" x14ac:dyDescent="0.2">
      <c r="A19" t="s">
        <v>96</v>
      </c>
    </row>
    <row r="20" spans="1:1" x14ac:dyDescent="0.2">
      <c r="A20" t="s">
        <v>108</v>
      </c>
    </row>
    <row r="21" spans="1:1" x14ac:dyDescent="0.2">
      <c r="A21" t="s">
        <v>109</v>
      </c>
    </row>
    <row r="22" spans="1:1" x14ac:dyDescent="0.2">
      <c r="A22" t="s">
        <v>110</v>
      </c>
    </row>
    <row r="23" spans="1:1" x14ac:dyDescent="0.2">
      <c r="A23" t="s">
        <v>111</v>
      </c>
    </row>
    <row r="24" spans="1:1" x14ac:dyDescent="0.2">
      <c r="A24" t="s">
        <v>114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14"/>
  <sheetViews>
    <sheetView workbookViewId="0">
      <selection activeCell="A2" sqref="A2"/>
    </sheetView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112</v>
      </c>
      <c r="B1" s="1"/>
      <c r="C1" s="1"/>
    </row>
    <row r="2" spans="1:3" x14ac:dyDescent="0.2">
      <c r="A2" s="1" t="s">
        <v>54</v>
      </c>
      <c r="B2" s="1" t="s">
        <v>60</v>
      </c>
      <c r="C2" s="1" t="s">
        <v>106</v>
      </c>
    </row>
    <row r="3" spans="1:3" x14ac:dyDescent="0.2">
      <c r="A3" s="2" t="s">
        <v>20</v>
      </c>
      <c r="B3" s="2">
        <f>MATCH(""""&amp;A3&amp;"""",ASSETS!$B:$B,0)-9</f>
        <v>1</v>
      </c>
      <c r="C3" s="2">
        <f>B3+COUNTIFS(ASSETS!$B:$B, """"&amp;A3&amp;"""",ASSETS!$A:$A,TRUE) - 1</f>
        <v>5</v>
      </c>
    </row>
    <row r="4" spans="1:3" x14ac:dyDescent="0.2">
      <c r="A4" s="2" t="s">
        <v>21</v>
      </c>
      <c r="B4" s="2">
        <f>MATCH(""""&amp;A4&amp;"""",ASSETS!$B:$B,0)-9</f>
        <v>6</v>
      </c>
      <c r="C4" s="2">
        <f>B4+COUNTIFS(ASSETS!$B:$B, """"&amp;A4&amp;"""",ASSETS!$A:$A,TRUE) - 1</f>
        <v>11</v>
      </c>
    </row>
    <row r="5" spans="1:3" x14ac:dyDescent="0.2">
      <c r="A5" s="2" t="s">
        <v>22</v>
      </c>
      <c r="B5" s="2">
        <f>MATCH(""""&amp;A5&amp;"""",ASSETS!$B:$B,0)-9</f>
        <v>12</v>
      </c>
      <c r="C5" s="2">
        <f>B5+COUNTIFS(ASSETS!$B:$B, """"&amp;A5&amp;"""",ASSETS!$A:$A,TRUE) - 1</f>
        <v>15</v>
      </c>
    </row>
    <row r="6" spans="1:3" x14ac:dyDescent="0.2">
      <c r="A6" s="2" t="s">
        <v>23</v>
      </c>
      <c r="B6" s="2">
        <f>MATCH(""""&amp;A6&amp;"""",ASSETS!$B:$B,0)-9</f>
        <v>16</v>
      </c>
      <c r="C6" s="2">
        <f>B6+COUNTIFS(ASSETS!$B:$B, """"&amp;A6&amp;"""",ASSETS!$A:$A,TRUE) - 1</f>
        <v>16</v>
      </c>
    </row>
    <row r="7" spans="1:3" x14ac:dyDescent="0.2">
      <c r="A7" s="2" t="s">
        <v>24</v>
      </c>
      <c r="B7" s="2">
        <f>MATCH(""""&amp;A7&amp;"""",ASSETS!$B:$B,0)-9</f>
        <v>17</v>
      </c>
      <c r="C7" s="2">
        <f>B7+COUNTIFS(ASSETS!$B:$B, """"&amp;A7&amp;"""",ASSETS!$A:$A,TRUE) - 1</f>
        <v>16</v>
      </c>
    </row>
    <row r="8" spans="1:3" x14ac:dyDescent="0.2">
      <c r="A8" s="5" t="s">
        <v>104</v>
      </c>
      <c r="B8" s="5">
        <f>MATCH(""""&amp;A8&amp;"""",UI!$B:$B,0)-9+$C$7</f>
        <v>17</v>
      </c>
      <c r="C8" s="5">
        <f>B8+COUNTIFS(UI!$B:$B, """"&amp;A8&amp;"""",UI!$A:$A,TRUE) - 1</f>
        <v>17</v>
      </c>
    </row>
    <row r="9" spans="1:3" x14ac:dyDescent="0.2">
      <c r="A9" s="5" t="s">
        <v>102</v>
      </c>
      <c r="B9" s="5">
        <f>MATCH(""""&amp;A9&amp;"""",UI!$B:$B,0)-9+$C$7</f>
        <v>18</v>
      </c>
      <c r="C9" s="5">
        <f>B9+COUNTIFS(UI!$B:$B, """"&amp;A9&amp;"""",UI!$A:$A,TRUE) - 1</f>
        <v>18</v>
      </c>
    </row>
    <row r="10" spans="1:3" x14ac:dyDescent="0.2">
      <c r="A10" s="5" t="s">
        <v>101</v>
      </c>
      <c r="B10" s="5">
        <f>MATCH(""""&amp;A10&amp;"""",UI!$B:$B,0)-9+$C$7</f>
        <v>19</v>
      </c>
      <c r="C10" s="5">
        <f>B10+COUNTIFS(UI!$B:$B, """"&amp;A10&amp;"""",UI!$A:$A,TRUE) - 1</f>
        <v>19</v>
      </c>
    </row>
    <row r="11" spans="1:3" x14ac:dyDescent="0.2">
      <c r="A11" s="5" t="s">
        <v>100</v>
      </c>
      <c r="B11" s="5">
        <f>MATCH(""""&amp;A11&amp;"""",UI!$B:$B,0)-9+$C$7</f>
        <v>20</v>
      </c>
      <c r="C11" s="5">
        <f>B11+COUNTIFS(UI!$B:$B, """"&amp;A11&amp;"""",UI!$A:$A,TRUE) - 1</f>
        <v>20</v>
      </c>
    </row>
    <row r="12" spans="1:3" x14ac:dyDescent="0.2">
      <c r="A12" s="5" t="s">
        <v>99</v>
      </c>
      <c r="B12" s="5">
        <f>MATCH(""""&amp;A12&amp;"""",UI!$B:$B,0)-9+$C$7</f>
        <v>21</v>
      </c>
      <c r="C12" s="5">
        <f>B12+COUNTIFS(UI!$B:$B, """"&amp;A12&amp;"""",UI!$A:$A,TRUE) - 1</f>
        <v>21</v>
      </c>
    </row>
    <row r="13" spans="1:3" x14ac:dyDescent="0.2">
      <c r="A13" s="5" t="s">
        <v>98</v>
      </c>
      <c r="B13" s="5">
        <f>MATCH(""""&amp;A13&amp;"""",UI!$B:$B,0)-9+$C$7</f>
        <v>22</v>
      </c>
      <c r="C13" s="5">
        <f>B13+COUNTIFS(UI!$B:$B, """"&amp;A13&amp;"""",UI!$A:$A,TRUE) - 1</f>
        <v>22</v>
      </c>
    </row>
    <row r="14" spans="1:3" x14ac:dyDescent="0.2">
      <c r="A14" s="5" t="s">
        <v>97</v>
      </c>
      <c r="B14" s="5">
        <f>MATCH(""""&amp;A14&amp;"""",UI!$B:$B,0)-9+$C$7</f>
        <v>23</v>
      </c>
      <c r="C14" s="5">
        <f>B14+COUNTIFS(UI!$B:$B, """"&amp;A14&amp;"""",UI!$A:$A,TRUE) - 1</f>
        <v>23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M26"/>
  <sheetViews>
    <sheetView topLeftCell="A8" workbookViewId="0">
      <selection activeCell="C27" sqref="C27"/>
    </sheetView>
  </sheetViews>
  <sheetFormatPr defaultRowHeight="12.75" x14ac:dyDescent="0.2"/>
  <cols>
    <col min="2" max="3" width="15.7109375" customWidth="1"/>
    <col min="4" max="4" width="30.7109375" customWidth="1"/>
    <col min="5" max="8" width="12.7109375" customWidth="1"/>
    <col min="9" max="10" width="15.7109375" customWidth="1"/>
    <col min="11" max="12" width="30.7109375" customWidth="1"/>
    <col min="13" max="13" width="12.7109375" customWidth="1"/>
  </cols>
  <sheetData>
    <row r="1" spans="1:13" hidden="1" x14ac:dyDescent="0.2"/>
    <row r="2" spans="1:13" hidden="1" x14ac:dyDescent="0.2"/>
    <row r="3" spans="1:13" hidden="1" x14ac:dyDescent="0.2"/>
    <row r="4" spans="1:13" hidden="1" x14ac:dyDescent="0.2"/>
    <row r="5" spans="1:13" hidden="1" x14ac:dyDescent="0.2"/>
    <row r="6" spans="1:13" hidden="1" x14ac:dyDescent="0.2"/>
    <row r="7" spans="1:13" hidden="1" x14ac:dyDescent="0.2"/>
    <row r="8" spans="1:13" x14ac:dyDescent="0.2">
      <c r="A8" s="1"/>
      <c r="B8" s="1" t="s">
        <v>4</v>
      </c>
      <c r="C8" s="1" t="s">
        <v>4</v>
      </c>
      <c r="D8" s="1" t="s">
        <v>4</v>
      </c>
      <c r="E8" s="1" t="s">
        <v>3</v>
      </c>
      <c r="F8" s="1" t="s">
        <v>3</v>
      </c>
      <c r="G8" s="1" t="s">
        <v>3</v>
      </c>
      <c r="H8" s="1" t="s">
        <v>8</v>
      </c>
      <c r="I8" s="1" t="s">
        <v>3</v>
      </c>
      <c r="J8" s="1" t="s">
        <v>3</v>
      </c>
      <c r="K8" s="1" t="s">
        <v>4</v>
      </c>
      <c r="L8" s="1" t="s">
        <v>4</v>
      </c>
      <c r="M8" s="1" t="s">
        <v>3</v>
      </c>
    </row>
    <row r="9" spans="1:13" x14ac:dyDescent="0.2">
      <c r="A9" s="1" t="s">
        <v>14</v>
      </c>
      <c r="B9" s="1" t="s">
        <v>54</v>
      </c>
      <c r="C9" s="1" t="s">
        <v>0</v>
      </c>
      <c r="D9" s="1" t="s">
        <v>1</v>
      </c>
      <c r="E9" s="1" t="s">
        <v>2</v>
      </c>
      <c r="F9" s="1" t="s">
        <v>5</v>
      </c>
      <c r="G9" s="1" t="s">
        <v>6</v>
      </c>
      <c r="H9" s="1" t="s">
        <v>9</v>
      </c>
      <c r="I9" s="1" t="s">
        <v>12</v>
      </c>
      <c r="J9" s="1" t="s">
        <v>25</v>
      </c>
      <c r="K9" s="1" t="s">
        <v>7</v>
      </c>
      <c r="L9" s="1" t="s">
        <v>11</v>
      </c>
      <c r="M9" s="1" t="s">
        <v>13</v>
      </c>
    </row>
    <row r="10" spans="1:13" x14ac:dyDescent="0.2">
      <c r="A10" s="2" t="b">
        <v>1</v>
      </c>
      <c r="B10" s="2" t="s">
        <v>55</v>
      </c>
      <c r="C10" s="3" t="s">
        <v>38</v>
      </c>
      <c r="D10" s="2" t="s">
        <v>15</v>
      </c>
      <c r="E10" s="2">
        <v>1</v>
      </c>
      <c r="F10" s="4"/>
      <c r="G10" s="4"/>
      <c r="H10" s="4"/>
      <c r="I10" s="4"/>
      <c r="J10" s="4"/>
      <c r="K10" s="4"/>
      <c r="L10" s="4"/>
      <c r="M10" s="4"/>
    </row>
    <row r="11" spans="1:13" x14ac:dyDescent="0.2">
      <c r="A11" s="2" t="b">
        <v>1</v>
      </c>
      <c r="B11" s="2" t="s">
        <v>55</v>
      </c>
      <c r="C11" s="3" t="s">
        <v>39</v>
      </c>
      <c r="D11" s="2" t="s">
        <v>35</v>
      </c>
      <c r="E11" s="2">
        <v>3</v>
      </c>
      <c r="F11" s="4"/>
      <c r="G11" s="4"/>
      <c r="H11" s="4"/>
      <c r="I11" s="4"/>
      <c r="J11" s="4"/>
      <c r="K11" s="4"/>
      <c r="L11" s="4"/>
      <c r="M11" s="4"/>
    </row>
    <row r="12" spans="1:13" x14ac:dyDescent="0.2">
      <c r="A12" s="2" t="b">
        <v>1</v>
      </c>
      <c r="B12" s="2" t="s">
        <v>55</v>
      </c>
      <c r="C12" s="3" t="s">
        <v>40</v>
      </c>
      <c r="D12" s="2" t="s">
        <v>29</v>
      </c>
      <c r="E12" s="2">
        <v>2</v>
      </c>
      <c r="F12" s="4"/>
      <c r="G12" s="4"/>
      <c r="H12" s="4"/>
      <c r="I12" s="4"/>
      <c r="J12" s="4"/>
      <c r="K12" s="4"/>
      <c r="L12" s="4"/>
      <c r="M12" s="4"/>
    </row>
    <row r="13" spans="1:13" x14ac:dyDescent="0.2">
      <c r="A13" s="2" t="b">
        <v>1</v>
      </c>
      <c r="B13" s="2" t="s">
        <v>55</v>
      </c>
      <c r="C13" s="3" t="s">
        <v>41</v>
      </c>
      <c r="D13" s="2" t="s">
        <v>32</v>
      </c>
      <c r="E13" s="2">
        <v>2</v>
      </c>
      <c r="F13" s="4"/>
      <c r="G13" s="4"/>
      <c r="H13" s="4"/>
      <c r="I13" s="4"/>
      <c r="J13" s="4"/>
      <c r="K13" s="4"/>
      <c r="L13" s="4"/>
      <c r="M13" s="4"/>
    </row>
    <row r="14" spans="1:13" x14ac:dyDescent="0.2">
      <c r="A14" s="2" t="b">
        <v>1</v>
      </c>
      <c r="B14" s="2" t="s">
        <v>55</v>
      </c>
      <c r="C14" s="3" t="s">
        <v>42</v>
      </c>
      <c r="D14" s="2" t="s">
        <v>37</v>
      </c>
      <c r="E14" s="2">
        <v>1</v>
      </c>
      <c r="F14" s="4"/>
      <c r="G14" s="4"/>
      <c r="H14" s="4"/>
      <c r="I14" s="4"/>
      <c r="J14" s="4"/>
      <c r="K14" s="4"/>
      <c r="L14" s="4"/>
      <c r="M14" s="4"/>
    </row>
    <row r="15" spans="1:13" x14ac:dyDescent="0.2">
      <c r="A15" s="5" t="b">
        <v>1</v>
      </c>
      <c r="B15" s="5" t="s">
        <v>56</v>
      </c>
      <c r="C15" s="6" t="s">
        <v>43</v>
      </c>
      <c r="D15" s="5" t="s">
        <v>16</v>
      </c>
      <c r="E15" s="4"/>
      <c r="F15" s="5">
        <v>12</v>
      </c>
      <c r="G15" s="5">
        <v>1</v>
      </c>
      <c r="H15" s="4"/>
      <c r="I15" s="4"/>
      <c r="J15" s="4"/>
      <c r="K15" s="4"/>
      <c r="L15" s="4"/>
      <c r="M15" s="4"/>
    </row>
    <row r="16" spans="1:13" x14ac:dyDescent="0.2">
      <c r="A16" s="5" t="b">
        <v>1</v>
      </c>
      <c r="B16" s="5" t="s">
        <v>56</v>
      </c>
      <c r="C16" s="6" t="s">
        <v>44</v>
      </c>
      <c r="D16" s="5" t="s">
        <v>16</v>
      </c>
      <c r="E16" s="4"/>
      <c r="F16" s="5">
        <v>14</v>
      </c>
      <c r="G16" s="5">
        <v>1</v>
      </c>
      <c r="H16" s="4"/>
      <c r="I16" s="4"/>
      <c r="J16" s="4"/>
      <c r="K16" s="4"/>
      <c r="L16" s="4"/>
      <c r="M16" s="4"/>
    </row>
    <row r="17" spans="1:13" x14ac:dyDescent="0.2">
      <c r="A17" s="5" t="b">
        <v>1</v>
      </c>
      <c r="B17" s="5" t="s">
        <v>56</v>
      </c>
      <c r="C17" s="6" t="s">
        <v>45</v>
      </c>
      <c r="D17" s="5" t="s">
        <v>16</v>
      </c>
      <c r="E17" s="4"/>
      <c r="F17" s="5">
        <v>18</v>
      </c>
      <c r="G17" s="5">
        <v>1</v>
      </c>
      <c r="H17" s="4"/>
      <c r="I17" s="4"/>
      <c r="J17" s="4"/>
      <c r="K17" s="4"/>
      <c r="L17" s="4"/>
      <c r="M17" s="4"/>
    </row>
    <row r="18" spans="1:13" x14ac:dyDescent="0.2">
      <c r="A18" s="5" t="b">
        <v>1</v>
      </c>
      <c r="B18" s="5" t="s">
        <v>56</v>
      </c>
      <c r="C18" s="6" t="s">
        <v>46</v>
      </c>
      <c r="D18" s="5" t="s">
        <v>36</v>
      </c>
      <c r="E18" s="4"/>
      <c r="F18" s="5">
        <v>12</v>
      </c>
      <c r="G18" s="5">
        <v>1</v>
      </c>
      <c r="H18" s="4"/>
      <c r="I18" s="4"/>
      <c r="J18" s="4"/>
      <c r="K18" s="4"/>
      <c r="L18" s="4"/>
      <c r="M18" s="4"/>
    </row>
    <row r="19" spans="1:13" x14ac:dyDescent="0.2">
      <c r="A19" s="5" t="b">
        <v>1</v>
      </c>
      <c r="B19" s="5" t="s">
        <v>56</v>
      </c>
      <c r="C19" s="6" t="s">
        <v>47</v>
      </c>
      <c r="D19" s="5" t="s">
        <v>36</v>
      </c>
      <c r="E19" s="4"/>
      <c r="F19" s="5">
        <v>14</v>
      </c>
      <c r="G19" s="5">
        <v>1</v>
      </c>
      <c r="H19" s="4"/>
      <c r="I19" s="4"/>
      <c r="J19" s="4"/>
      <c r="K19" s="4"/>
      <c r="L19" s="4"/>
      <c r="M19" s="4"/>
    </row>
    <row r="20" spans="1:13" x14ac:dyDescent="0.2">
      <c r="A20" s="5" t="b">
        <v>1</v>
      </c>
      <c r="B20" s="5" t="s">
        <v>56</v>
      </c>
      <c r="C20" s="6" t="s">
        <v>48</v>
      </c>
      <c r="D20" s="5" t="s">
        <v>36</v>
      </c>
      <c r="E20" s="4"/>
      <c r="F20" s="5">
        <v>18</v>
      </c>
      <c r="G20" s="5">
        <v>1</v>
      </c>
      <c r="H20" s="4"/>
      <c r="I20" s="4"/>
      <c r="J20" s="4"/>
      <c r="K20" s="4"/>
      <c r="L20" s="4"/>
      <c r="M20" s="4"/>
    </row>
    <row r="21" spans="1:13" x14ac:dyDescent="0.2">
      <c r="A21" s="7" t="b">
        <v>1</v>
      </c>
      <c r="B21" s="7" t="s">
        <v>57</v>
      </c>
      <c r="C21" s="8" t="s">
        <v>49</v>
      </c>
      <c r="D21" s="4"/>
      <c r="E21" s="4"/>
      <c r="F21" s="4"/>
      <c r="G21" s="4"/>
      <c r="H21" s="8" t="s">
        <v>10</v>
      </c>
      <c r="I21" s="7" t="s">
        <v>45</v>
      </c>
      <c r="J21" s="7">
        <v>0</v>
      </c>
      <c r="K21" s="7" t="s">
        <v>17</v>
      </c>
      <c r="L21" s="7" t="s">
        <v>18</v>
      </c>
      <c r="M21" s="4"/>
    </row>
    <row r="22" spans="1:13" x14ac:dyDescent="0.2">
      <c r="A22" s="7" t="b">
        <v>1</v>
      </c>
      <c r="B22" s="7" t="s">
        <v>57</v>
      </c>
      <c r="C22" s="8" t="s">
        <v>50</v>
      </c>
      <c r="D22" s="4"/>
      <c r="E22" s="4"/>
      <c r="F22" s="4"/>
      <c r="G22" s="4"/>
      <c r="H22" s="8" t="s">
        <v>26</v>
      </c>
      <c r="I22" s="7" t="s">
        <v>46</v>
      </c>
      <c r="J22" s="7">
        <v>100</v>
      </c>
      <c r="K22" s="7" t="s">
        <v>27</v>
      </c>
      <c r="L22" s="7" t="s">
        <v>28</v>
      </c>
      <c r="M22" s="4"/>
    </row>
    <row r="23" spans="1:13" x14ac:dyDescent="0.2">
      <c r="A23" s="7" t="b">
        <v>1</v>
      </c>
      <c r="B23" s="7" t="s">
        <v>57</v>
      </c>
      <c r="C23" s="8" t="s">
        <v>51</v>
      </c>
      <c r="D23" s="4"/>
      <c r="E23" s="4"/>
      <c r="F23" s="4"/>
      <c r="G23" s="4"/>
      <c r="H23" s="8" t="s">
        <v>26</v>
      </c>
      <c r="I23" s="7" t="s">
        <v>46</v>
      </c>
      <c r="J23" s="7">
        <v>0</v>
      </c>
      <c r="K23" s="7" t="s">
        <v>30</v>
      </c>
      <c r="L23" s="7" t="s">
        <v>31</v>
      </c>
      <c r="M23" s="4"/>
    </row>
    <row r="24" spans="1:13" x14ac:dyDescent="0.2">
      <c r="A24" s="7" t="b">
        <v>1</v>
      </c>
      <c r="B24" s="7" t="s">
        <v>57</v>
      </c>
      <c r="C24" s="8" t="s">
        <v>52</v>
      </c>
      <c r="D24" s="4"/>
      <c r="E24" s="4"/>
      <c r="F24" s="4"/>
      <c r="G24" s="4"/>
      <c r="H24" s="8" t="s">
        <v>26</v>
      </c>
      <c r="I24" s="7" t="s">
        <v>46</v>
      </c>
      <c r="J24" s="7">
        <v>0</v>
      </c>
      <c r="K24" s="7" t="s">
        <v>33</v>
      </c>
      <c r="L24" s="7" t="s">
        <v>34</v>
      </c>
      <c r="M24" s="4"/>
    </row>
    <row r="25" spans="1:13" x14ac:dyDescent="0.2">
      <c r="A25" s="9" t="b">
        <v>1</v>
      </c>
      <c r="B25" s="9" t="s">
        <v>58</v>
      </c>
      <c r="C25" s="10" t="s">
        <v>53</v>
      </c>
      <c r="D25" s="9" t="s">
        <v>19</v>
      </c>
      <c r="E25" s="4"/>
      <c r="F25" s="4"/>
      <c r="G25" s="4"/>
      <c r="H25" s="4"/>
      <c r="I25" s="4"/>
      <c r="J25" s="4"/>
      <c r="K25" s="4"/>
      <c r="L25" s="4"/>
      <c r="M25" s="9">
        <v>128</v>
      </c>
    </row>
    <row r="26" spans="1:13" x14ac:dyDescent="0.2">
      <c r="A26" s="11"/>
      <c r="B26" s="11" t="s">
        <v>59</v>
      </c>
      <c r="C26" s="12" t="s">
        <v>53</v>
      </c>
      <c r="D26" s="11" t="s">
        <v>19</v>
      </c>
      <c r="E26" s="4"/>
      <c r="F26" s="4"/>
      <c r="G26" s="4"/>
      <c r="H26" s="4"/>
      <c r="I26" s="4"/>
      <c r="J26" s="4"/>
      <c r="K26" s="4"/>
      <c r="L26" s="4"/>
      <c r="M26" s="11">
        <v>128</v>
      </c>
    </row>
  </sheetData>
  <dataValidations count="1">
    <dataValidation type="list" allowBlank="1" showInputMessage="1" showErrorMessage="1" sqref="I10:I1048576">
      <formula1>INDIRECT("FONT_IDS")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K16"/>
  <sheetViews>
    <sheetView topLeftCell="A8" zoomScaleNormal="100" workbookViewId="0">
      <selection activeCell="E21" sqref="E21"/>
    </sheetView>
  </sheetViews>
  <sheetFormatPr defaultRowHeight="12.75" x14ac:dyDescent="0.2"/>
  <cols>
    <col min="2" max="4" width="15.7109375" customWidth="1"/>
    <col min="5" max="7" width="24.7109375" customWidth="1"/>
    <col min="8" max="9" width="15.7109375" customWidth="1"/>
    <col min="10" max="11" width="30.7109375" customWidth="1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1"/>
      <c r="B8" s="1" t="s">
        <v>4</v>
      </c>
      <c r="C8" s="1" t="s">
        <v>4</v>
      </c>
      <c r="D8" s="1" t="s">
        <v>8</v>
      </c>
      <c r="E8" s="1" t="s">
        <v>3</v>
      </c>
      <c r="F8" s="1" t="s">
        <v>3</v>
      </c>
      <c r="G8" s="1" t="s">
        <v>3</v>
      </c>
      <c r="H8" s="1" t="s">
        <v>3</v>
      </c>
      <c r="I8" s="1" t="s">
        <v>3</v>
      </c>
      <c r="J8" s="1" t="s">
        <v>8</v>
      </c>
      <c r="K8" s="1" t="s">
        <v>8</v>
      </c>
    </row>
    <row r="9" spans="1:11" x14ac:dyDescent="0.2">
      <c r="A9" s="1" t="s">
        <v>14</v>
      </c>
      <c r="B9" s="1" t="s">
        <v>54</v>
      </c>
      <c r="C9" s="1" t="s">
        <v>0</v>
      </c>
      <c r="D9" s="1" t="s">
        <v>77</v>
      </c>
      <c r="E9" s="1" t="s">
        <v>78</v>
      </c>
      <c r="F9" s="1" t="s">
        <v>79</v>
      </c>
      <c r="G9" s="1" t="s">
        <v>80</v>
      </c>
      <c r="H9" s="1" t="s">
        <v>12</v>
      </c>
      <c r="I9" s="1" t="s">
        <v>81</v>
      </c>
      <c r="J9" s="1" t="s">
        <v>82</v>
      </c>
      <c r="K9" s="1" t="s">
        <v>89</v>
      </c>
    </row>
    <row r="10" spans="1:11" x14ac:dyDescent="0.2">
      <c r="A10" s="2" t="b">
        <v>1</v>
      </c>
      <c r="B10" s="2" t="s">
        <v>103</v>
      </c>
      <c r="C10" s="3" t="s">
        <v>38</v>
      </c>
      <c r="D10" s="16" t="s">
        <v>94</v>
      </c>
      <c r="E10" s="2" t="s">
        <v>38</v>
      </c>
      <c r="F10" s="4"/>
      <c r="G10" s="4"/>
      <c r="H10" s="4"/>
      <c r="I10" s="4"/>
      <c r="J10" s="4"/>
      <c r="K10" s="4"/>
    </row>
    <row r="11" spans="1:11" x14ac:dyDescent="0.2">
      <c r="A11" s="5" t="b">
        <v>1</v>
      </c>
      <c r="B11" s="5" t="s">
        <v>92</v>
      </c>
      <c r="C11" s="6" t="s">
        <v>49</v>
      </c>
      <c r="D11" s="17" t="s">
        <v>95</v>
      </c>
      <c r="E11" s="4"/>
      <c r="F11" s="5" t="s">
        <v>49</v>
      </c>
      <c r="G11" s="4"/>
      <c r="H11" s="4"/>
      <c r="I11" s="4"/>
      <c r="J11" s="4"/>
      <c r="K11" s="4"/>
    </row>
    <row r="12" spans="1:11" x14ac:dyDescent="0.2">
      <c r="A12" s="7" t="b">
        <v>1</v>
      </c>
      <c r="B12" s="7" t="s">
        <v>83</v>
      </c>
      <c r="C12" s="8" t="s">
        <v>83</v>
      </c>
      <c r="D12" s="7" t="s">
        <v>84</v>
      </c>
      <c r="E12" s="7" t="s">
        <v>39</v>
      </c>
      <c r="F12" s="7" t="s">
        <v>50</v>
      </c>
      <c r="G12" s="7" t="s">
        <v>53</v>
      </c>
      <c r="H12" s="4"/>
      <c r="I12" s="4"/>
      <c r="J12" s="4"/>
      <c r="K12" s="4"/>
    </row>
    <row r="13" spans="1:11" x14ac:dyDescent="0.2">
      <c r="A13" s="9" t="b">
        <v>1</v>
      </c>
      <c r="B13" s="9" t="s">
        <v>40</v>
      </c>
      <c r="C13" s="10" t="s">
        <v>40</v>
      </c>
      <c r="D13" s="9" t="s">
        <v>85</v>
      </c>
      <c r="E13" s="9" t="s">
        <v>40</v>
      </c>
      <c r="F13" s="9" t="s">
        <v>51</v>
      </c>
      <c r="G13" s="9" t="s">
        <v>53</v>
      </c>
      <c r="H13" s="4"/>
      <c r="I13" s="4"/>
      <c r="J13" s="4"/>
      <c r="K13" s="4"/>
    </row>
    <row r="14" spans="1:11" x14ac:dyDescent="0.2">
      <c r="A14" s="11" t="b">
        <v>1</v>
      </c>
      <c r="B14" s="11" t="s">
        <v>41</v>
      </c>
      <c r="C14" s="12" t="s">
        <v>41</v>
      </c>
      <c r="D14" s="11" t="s">
        <v>86</v>
      </c>
      <c r="E14" s="11" t="s">
        <v>41</v>
      </c>
      <c r="F14" s="11" t="s">
        <v>52</v>
      </c>
      <c r="G14" s="11" t="s">
        <v>53</v>
      </c>
      <c r="H14" s="4"/>
      <c r="I14" s="4"/>
      <c r="J14" s="4"/>
      <c r="K14" s="4"/>
    </row>
    <row r="15" spans="1:11" x14ac:dyDescent="0.2">
      <c r="A15" s="13" t="b">
        <v>1</v>
      </c>
      <c r="B15" s="13" t="s">
        <v>87</v>
      </c>
      <c r="C15" s="14" t="s">
        <v>87</v>
      </c>
      <c r="D15" s="13" t="s">
        <v>88</v>
      </c>
      <c r="E15" s="13" t="s">
        <v>42</v>
      </c>
      <c r="F15" s="4"/>
      <c r="G15" s="4"/>
      <c r="H15" s="13" t="s">
        <v>43</v>
      </c>
      <c r="I15" s="13">
        <v>32</v>
      </c>
      <c r="J15" s="13" t="s">
        <v>26</v>
      </c>
      <c r="K15" s="4"/>
    </row>
    <row r="16" spans="1:11" x14ac:dyDescent="0.2">
      <c r="A16" s="15" t="b">
        <v>1</v>
      </c>
      <c r="B16" s="15" t="s">
        <v>93</v>
      </c>
      <c r="C16" s="18" t="s">
        <v>90</v>
      </c>
      <c r="D16" s="19" t="s">
        <v>113</v>
      </c>
      <c r="E16" s="4"/>
      <c r="F16" s="4"/>
      <c r="G16" s="4"/>
      <c r="H16" s="4"/>
      <c r="I16" s="4"/>
      <c r="J16" s="4"/>
      <c r="K16" s="15" t="s">
        <v>91</v>
      </c>
    </row>
  </sheetData>
  <dataValidations count="4">
    <dataValidation type="list" allowBlank="1" showInputMessage="1" showErrorMessage="1" sqref="H10:H1048576">
      <formula1>INDIRECT("FONT_IDS")</formula1>
    </dataValidation>
    <dataValidation type="list" allowBlank="1" showInputMessage="1" showErrorMessage="1" sqref="E10:E1048576">
      <formula1>INDIRECT("IMAGE_IDS")</formula1>
    </dataValidation>
    <dataValidation type="list" allowBlank="1" showInputMessage="1" showErrorMessage="1" sqref="F10:F1048576">
      <formula1>INDIRECT("TEXT_IDS")</formula1>
    </dataValidation>
    <dataValidation type="list" allowBlank="1" showInputMessage="1" showErrorMessage="1" sqref="G10:G1048576">
      <formula1>INDIRECT("SOUND_IDS")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ASSETS</vt:lpstr>
      <vt:lpstr>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2023-04-07T11:40:59Z</dcterms:modified>
</cp:coreProperties>
</file>