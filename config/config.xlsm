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assets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S" sheetId="2" r:id="rId3"/>
    <sheet name="FONTS" sheetId="3" r:id="rId4"/>
    <sheet name="TEXTS" sheetId="4" r:id="rId5"/>
    <sheet name="SOUNDS" sheetId="5" r:id="rId6"/>
    <sheet name="MUSICS" sheetId="6" r:id="rId7"/>
    <sheet name="TIMERS" sheetId="7" r:id="rId8"/>
    <sheet name="CURSORS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4"/>
  <c r="B1" i="5"/>
  <c r="B1" i="6"/>
  <c r="B1" i="7"/>
  <c r="B1" i="8"/>
  <c r="B1" i="2"/>
  <c r="B10" i="2" l="1"/>
  <c r="B11" i="2" s="1"/>
  <c r="B10" i="8" l="1"/>
  <c r="B10" i="7"/>
  <c r="B11" i="7" s="1"/>
  <c r="B10" i="6"/>
  <c r="B11" i="6" s="1"/>
  <c r="B11" i="8"/>
  <c r="B10" i="4"/>
  <c r="B11" i="4" s="1"/>
  <c r="B10" i="3"/>
  <c r="B11" i="3" s="1"/>
  <c r="B12" i="3" s="1"/>
  <c r="B10" i="5"/>
  <c r="B11" i="5" s="1"/>
  <c r="C12" i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<sst xmlns="http://schemas.openxmlformats.org/spreadsheetml/2006/main" count="96" uniqueCount="47">
  <si>
    <t>id</t>
  </si>
  <si>
    <t>file_name</t>
  </si>
  <si>
    <t>frames</t>
  </si>
  <si>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</si>
  <si>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</si>
  <si>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</si>
  <si>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</si>
  <si>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</si>
  <si>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</si>
  <si>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</si>
  <si>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</si>
  <si>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</si>
  <si>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</si>
  <si>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</si>
  <si>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</si>
  <si>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</si>
  <si>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</si>
  <si>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size</t>
  </si>
  <si>
    <t>wrap_align</t>
  </si>
  <si>
    <t>en</t>
  </si>
  <si>
    <t>int_array</t>
  </si>
  <si>
    <t>color</t>
  </si>
  <si>
    <t>0,127,127,255</t>
  </si>
  <si>
    <t>bg</t>
  </si>
  <si>
    <t>font_id</t>
  </si>
  <si>
    <t>volume</t>
  </si>
  <si>
    <t>Export?</t>
  </si>
  <si>
    <t>"assets/images/logo_big.png"</t>
  </si>
  <si>
    <t>"assets/fonts/Consola.ttf"</t>
  </si>
  <si>
    <t>"Hello\nWorld"</t>
  </si>
  <si>
    <t>"Здравей\nСвят"</t>
  </si>
  <si>
    <t>"assets/sounds/clicks/mouse_click.wav"</t>
  </si>
  <si>
    <t>image</t>
  </si>
  <si>
    <t>font</t>
  </si>
  <si>
    <t>text</t>
  </si>
  <si>
    <t>sound</t>
  </si>
  <si>
    <t>music</t>
  </si>
  <si>
    <t>timer</t>
  </si>
  <si>
    <t>cursor</t>
  </si>
  <si>
    <t>type="image";id=1000000;file_name="assets/images/logo_big.png";frames=1;</t>
  </si>
  <si>
    <t>type="font";id=1100002;file_name="assets/fonts/Consola.ttf";size=18;wrap_align=1;</t>
  </si>
  <si>
    <t>type="sound";id=1300000;file_name="assets/sounds/clicks/mouse_click.wav";volume=128;</t>
  </si>
  <si>
    <t>type="cursor";id=1600000;file_name="assets/sounds/clicks/mouse_click.wav";volume=128;</t>
  </si>
  <si>
    <t>type="font";id=1100000;file_name="assets/fonts/Consola.ttf";size=12;wrap_align=1;</t>
  </si>
  <si>
    <t>type="font";id=1100001;file_name="assets/fonts/Consola.ttf";size=14;wrap_align=1;</t>
  </si>
  <si>
    <t>type="text";id=1200000;color=0,127,127,255;font_id=1100002;en="Hello\nWorld";bg="Здравей\nСвят";</t>
  </si>
  <si>
    <t>image=1;font=2;text=5;sound=6;music=7;timer=7;cursor=7;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</si>
</sst>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8"/>
  <sheetViews>
    <sheetView tabSelected="1" workbookViewId="0">
      <selection activeCell="R22" sqref="R22"/>
    </sheetView>
  </sheetViews>
  <sheetFormatPr defaultRowHeight="12.75" x14ac:dyDescent="0.2"/>
  <sheetData>
    <row r="1" spans="1:1" x14ac:dyDescent="0.2">
      <c r="A1" t="s">
        <v>46</v>
      </c>
    </row>
    <row r="2" spans="1:1" x14ac:dyDescent="0.2">
      <c r="A2" t="s">
        <v>39</v>
      </c>
    </row>
    <row r="3" spans="1:1" x14ac:dyDescent="0.2">
      <c r="A3" t="s">
        <v>43</v>
      </c>
    </row>
    <row r="4" spans="1:1" x14ac:dyDescent="0.2">
      <c r="A4" t="s">
        <v>44</v>
      </c>
    </row>
    <row r="5" spans="1:1" x14ac:dyDescent="0.2">
      <c r="A5" t="s">
        <v>40</v>
      </c>
    </row>
    <row r="6" spans="1:1" x14ac:dyDescent="0.2">
      <c r="A6" t="s">
        <v>45</v>
      </c>
    </row>
    <row r="7" spans="1:1" x14ac:dyDescent="0.2">
      <c r="A7" t="s">
        <v>41</v>
      </c>
    </row>
    <row r="8" spans="1:1" x14ac:dyDescent="0.2">
      <c r="A8" t="s">
        <v>42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3</v>
      </c>
      <c r="B1" s="2" t="s">
        <v>4</v>
      </c>
      <c r="C1" s="2" t="s">
        <v>5</v>
      </c>
    </row>
    <row r="2" spans="1:3" x14ac:dyDescent="0.2">
      <c r="A2" t="s">
        <v>6</v>
      </c>
      <c r="B2" s="1">
        <v>1000000</v>
      </c>
      <c r="C2" s="1">
        <f>B2+99999</f>
        <v>1099999</v>
      </c>
    </row>
    <row r="3" spans="1:3" x14ac:dyDescent="0.2">
      <c r="A3" t="s">
        <v>7</v>
      </c>
      <c r="B3" s="1">
        <f>C2+1</f>
        <v>1100000</v>
      </c>
      <c r="C3" s="1">
        <f>B3+99999</f>
        <v>1199999</v>
      </c>
    </row>
    <row r="4" spans="1:3" x14ac:dyDescent="0.2">
      <c r="A4" t="s">
        <v>8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9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10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12</v>
      </c>
      <c r="B7" s="1">
        <f>C6+1</f>
        <v>1500000</v>
      </c>
      <c r="C7" s="1">
        <f t="shared" si="1"/>
        <v>1599999</v>
      </c>
    </row>
    <row r="8" spans="1:3" x14ac:dyDescent="0.2">
      <c r="A8" t="s">
        <v>11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13</v>
      </c>
      <c r="B11" s="2" t="s">
        <v>4</v>
      </c>
      <c r="C11" s="2" t="s">
        <v>5</v>
      </c>
    </row>
    <row r="12" spans="1:3" x14ac:dyDescent="0.2">
      <c r="A12" t="s">
        <v>14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G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7" x14ac:dyDescent="0.2">
      <c r="A1" t="s">
        <v>32</v>
      </c>
      <c r="B1">
        <f>COUNTIFS(A:A,TRUE)</f>
        <v>1</v>
      </c>
    </row>
    <row r="8" spans="1:7" x14ac:dyDescent="0.2">
      <c r="B8" s="2" t="s">
        <v>15</v>
      </c>
      <c r="C8" s="2" t="s">
        <v>16</v>
      </c>
      <c r="D8" s="2" t="s">
        <v>15</v>
      </c>
      <c r="G8" s="2"/>
    </row>
    <row r="9" spans="1:7" x14ac:dyDescent="0.2">
      <c r="A9" s="2" t="s">
        <v>26</v>
      </c>
      <c r="B9" s="2" t="s">
        <v>0</v>
      </c>
      <c r="C9" s="2" t="s">
        <v>1</v>
      </c>
      <c r="D9" s="2" t="s">
        <v>2</v>
      </c>
      <c r="G9" s="2"/>
    </row>
    <row r="10" spans="1:7" x14ac:dyDescent="0.2">
      <c r="A10" t="b">
        <v>1</v>
      </c>
      <c r="B10" s="1">
        <f>DESC!B2</f>
        <v>1000000</v>
      </c>
      <c r="C10" t="s">
        <v>27</v>
      </c>
      <c r="D10">
        <v>1</v>
      </c>
    </row>
    <row r="11" spans="1:7" x14ac:dyDescent="0.2">
      <c r="B11" s="1">
        <f>B10+1</f>
        <v>1000001</v>
      </c>
      <c r="C11" t="s">
        <v>27</v>
      </c>
      <c r="D11">
        <v>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E12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5" width="12.7109375" customWidth="1"/>
  </cols>
  <sheetData>
    <row r="1" spans="1:5" x14ac:dyDescent="0.2">
      <c r="A1" t="s">
        <v>33</v>
      </c>
      <c r="B1">
        <f>COUNTIFS(A:A,TRUE)</f>
        <v>3</v>
      </c>
    </row>
    <row r="8" spans="1:5" x14ac:dyDescent="0.2">
      <c r="B8" s="2" t="s">
        <v>15</v>
      </c>
      <c r="C8" s="2" t="s">
        <v>16</v>
      </c>
      <c r="D8" s="2" t="s">
        <v>15</v>
      </c>
      <c r="E8" s="2" t="s">
        <v>15</v>
      </c>
    </row>
    <row r="9" spans="1:5" x14ac:dyDescent="0.2">
      <c r="A9" s="3" t="s">
        <v>26</v>
      </c>
      <c r="B9" s="2" t="s">
        <v>0</v>
      </c>
      <c r="C9" s="2" t="s">
        <v>1</v>
      </c>
      <c r="D9" s="2" t="s">
        <v>17</v>
      </c>
      <c r="E9" s="2" t="s">
        <v>18</v>
      </c>
    </row>
    <row r="10" spans="1:5" x14ac:dyDescent="0.2">
      <c r="A10" t="b">
        <v>1</v>
      </c>
      <c r="B10" s="1">
        <f>DESC!B3</f>
        <v>1100000</v>
      </c>
      <c r="C10" t="s">
        <v>28</v>
      </c>
      <c r="D10">
        <v>12</v>
      </c>
      <c r="E10">
        <v>1</v>
      </c>
    </row>
    <row r="11" spans="1:5" x14ac:dyDescent="0.2">
      <c r="A11" t="b">
        <v>1</v>
      </c>
      <c r="B11" s="1">
        <f>B10+1</f>
        <v>1100001</v>
      </c>
      <c r="C11" t="s">
        <v>28</v>
      </c>
      <c r="D11">
        <v>14</v>
      </c>
      <c r="E11">
        <v>1</v>
      </c>
    </row>
    <row r="12" spans="1:5" x14ac:dyDescent="0.2">
      <c r="A12" t="b">
        <v>1</v>
      </c>
      <c r="B12" s="1">
        <f>B11+1</f>
        <v>1100002</v>
      </c>
      <c r="C12" t="s">
        <v>28</v>
      </c>
      <c r="D12">
        <v>18</v>
      </c>
      <c r="E12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F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18.7109375" customWidth="1"/>
    <col min="4" max="4" width="12.7109375" customWidth="1"/>
    <col min="5" max="6" width="36.7109375" customWidth="1"/>
  </cols>
  <sheetData>
    <row r="1" spans="1:6" x14ac:dyDescent="0.2">
      <c r="A1" t="s">
        <v>34</v>
      </c>
      <c r="B1">
        <f>COUNTIFS(A:A,TRUE)</f>
        <v>1</v>
      </c>
    </row>
    <row r="8" spans="1:6" x14ac:dyDescent="0.2">
      <c r="B8" s="2" t="s">
        <v>15</v>
      </c>
      <c r="C8" s="2" t="s">
        <v>20</v>
      </c>
      <c r="D8" s="2" t="s">
        <v>15</v>
      </c>
      <c r="E8" s="2" t="s">
        <v>16</v>
      </c>
      <c r="F8" s="2" t="s">
        <v>16</v>
      </c>
    </row>
    <row r="9" spans="1:6" x14ac:dyDescent="0.2">
      <c r="A9" s="3" t="s">
        <v>26</v>
      </c>
      <c r="B9" s="2" t="s">
        <v>0</v>
      </c>
      <c r="C9" s="2" t="s">
        <v>21</v>
      </c>
      <c r="D9" s="2" t="s">
        <v>24</v>
      </c>
      <c r="E9" s="2" t="s">
        <v>19</v>
      </c>
      <c r="F9" s="2" t="s">
        <v>23</v>
      </c>
    </row>
    <row r="10" spans="1:6" x14ac:dyDescent="0.2">
      <c r="A10" t="b">
        <v>1</v>
      </c>
      <c r="B10" s="1">
        <f>DESC!B4</f>
        <v>1200000</v>
      </c>
      <c r="C10" s="1" t="s">
        <v>22</v>
      </c>
      <c r="D10">
        <v>1100002</v>
      </c>
      <c r="E10" t="s">
        <v>29</v>
      </c>
      <c r="F10" t="s">
        <v>30</v>
      </c>
    </row>
    <row r="11" spans="1:6" x14ac:dyDescent="0.2">
      <c r="B11" s="1">
        <f>B10+1</f>
        <v>1200001</v>
      </c>
      <c r="C11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D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35</v>
      </c>
      <c r="B1">
        <f>COUNTIFS(A:A,TRUE)</f>
        <v>1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A10" t="b">
        <v>1</v>
      </c>
      <c r="B10" s="1">
        <f>DESC!B5</f>
        <v>1300000</v>
      </c>
      <c r="C10" t="s">
        <v>31</v>
      </c>
      <c r="D10">
        <v>128</v>
      </c>
    </row>
    <row r="11" spans="1:4" x14ac:dyDescent="0.2">
      <c r="B11" s="1">
        <f>B10+1</f>
        <v>1300001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36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>
        <f>DESC!B6</f>
        <v>1400000</v>
      </c>
      <c r="C10" t="s">
        <v>31</v>
      </c>
      <c r="D10">
        <v>128</v>
      </c>
    </row>
    <row r="11" spans="1:4" x14ac:dyDescent="0.2">
      <c r="B11" s="1">
        <f>B10+1</f>
        <v>1400001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D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37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>
        <f>DESC!B7</f>
        <v>1500000</v>
      </c>
      <c r="C10" t="s">
        <v>31</v>
      </c>
      <c r="D10">
        <v>128</v>
      </c>
    </row>
    <row r="11" spans="1:4" x14ac:dyDescent="0.2">
      <c r="B11" s="1">
        <f>B10+1</f>
        <v>1500001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D11"/>
  <sheetViews>
    <sheetView workbookViewId="0">
      <selection activeCell="C10" sqref="C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38</v>
      </c>
      <c r="B1">
        <f>COUNTIFS(A:A,TRUE)</f>
        <v>1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A10" t="b">
        <v>1</v>
      </c>
      <c r="B10" s="1">
        <f>DESC!B8</f>
        <v>1600000</v>
      </c>
      <c r="C10" t="s">
        <v>31</v>
      </c>
      <c r="D10">
        <v>128</v>
      </c>
    </row>
    <row r="11" spans="1:4" x14ac:dyDescent="0.2">
      <c r="B11" s="1">
        <f>B10+1</f>
        <v>1600001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DESC</vt:lpstr>
      <vt:lpstr>IMAGES</vt:lpstr>
      <vt:lpstr>FONTS</vt:lpstr>
      <vt:lpstr>TEXTS</vt:lpstr>
      <vt:lpstr>SOUNDS</vt:lpstr>
      <vt:lpstr>MUSICS</vt:lpstr>
      <vt:lpstr>TIMERS</vt:lpstr>
      <vt:lpstr>CURSORS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2023-03-28T20:06:11Z</dcterms:modified>
</cp:coreProperties>
</file>