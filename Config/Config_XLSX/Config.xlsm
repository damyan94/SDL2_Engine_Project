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5.bin" ContentType="application/vnd.openxmlformats-officedocument.spreadsheetml.printerSettings"/>
  <Override PartName="/xl/tables/table4.xml" ContentType="application/vnd.openxmlformats-officedocument.spreadsheetml.table+xml"/>
  <Override PartName="/xl/printerSettings/printerSettings6.bin" ContentType="application/vnd.openxmlformats-officedocument.spreadsheetml.printerSettings"/>
  <Override PartName="/xl/tables/table5.xml" ContentType="application/vnd.openxmlformats-officedocument.spreadsheetml.table+xml"/>
  <Override PartName="/xl/printerSettings/printerSettings7.bin" ContentType="application/vnd.openxmlformats-officedocument.spreadsheetml.printerSettings"/>
  <Override PartName="/xl/tables/table6.xml" ContentType="application/vnd.openxmlformats-officedocument.spreadsheetml.table+xml"/>
  <Override PartName="/xl/printerSettings/printerSettings8.bin" ContentType="application/vnd.openxmlformats-officedocument.spreadsheetml.printerSettings"/>
  <Override PartName="/xl/tables/table7.xml" ContentType="application/vnd.openxmlformats-officedocument.spreadsheetml.table+xml"/>
  <Override PartName="/xl/printerSettings/printerSettings9.bin" ContentType="application/vnd.openxmlformats-officedocument.spreadsheetml.printerSettings"/>
  <Override PartName="/xl/tables/table8.xml" ContentType="application/vnd.openxmlformats-officedocument.spreadsheetml.table+xml"/>
  <Override PartName="/xl/printerSettings/printerSettings10.bin" ContentType="application/vnd.openxmlformats-officedocument.spreadsheetml.printerSettings"/>
  <Override PartName="/xl/tables/table9.xml" ContentType="application/vnd.openxmlformats-officedocument.spreadsheetml.table+xml"/>
  <Override PartName="/xl/printerSettings/printerSettings11.bin" ContentType="application/vnd.openxmlformats-officedocument.spreadsheetml.printerSettings"/>
  <Override PartName="/xl/tables/table10.xml" ContentType="application/vnd.openxmlformats-officedocument.spreadsheetml.table+xml"/>
  <Override PartName="/xl/printerSettings/printerSettings12.bin" ContentType="application/vnd.openxmlformats-officedocument.spreadsheetml.printerSettings"/>
  <Override PartName="/xl/tables/table11.xml" ContentType="application/vnd.openxmlformats-officedocument.spreadsheetml.table+xml"/>
  <Override PartName="/xl/printerSettings/printerSettings13.bin" ContentType="application/vnd.openxmlformats-officedocument.spreadsheetml.printerSettings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" sheetId="2" r:id="rId3"/>
    <sheet name="Font" sheetId="11" r:id="rId4"/>
    <sheet name="Text" sheetId="12" r:id="rId5"/>
    <sheet name="Sound" sheetId="13" r:id="rId6"/>
    <sheet name="Music" sheetId="14" r:id="rId7"/>
    <sheet name="ImageBox" sheetId="10" r:id="rId8"/>
    <sheet name="Label" sheetId="15" r:id="rId9"/>
    <sheet name="Button" sheetId="16" r:id="rId10"/>
    <sheet name="Checkbox" sheetId="17" r:id="rId11"/>
    <sheet name="RadioButton" sheetId="18" r:id="rId12"/>
    <sheet name="Textbox" sheetId="19" r:id="rId13"/>
    <sheet name="Menu" sheetId="20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6" l="1"/>
  <c r="C11" i="16"/>
  <c r="C11" i="12"/>
  <c r="C12" i="12" s="1"/>
  <c r="C11" i="11"/>
  <c r="C12" i="11" s="1"/>
  <c r="C13" i="11" s="1"/>
  <c r="C14" i="11" s="1"/>
  <c r="C15" i="11" s="1"/>
  <c r="C11" i="2"/>
  <c r="C12" i="2" s="1"/>
  <c r="C13" i="2" s="1"/>
  <c r="C14" i="2" s="1"/>
  <c r="C15" i="2" s="1"/>
  <c r="G10" i="15"/>
  <c r="C11" i="1"/>
  <c r="C14" i="1"/>
  <c r="G10" i="17"/>
  <c r="I10" i="17"/>
  <c r="K10" i="18"/>
  <c r="K11" i="16"/>
  <c r="C3" i="1"/>
  <c r="I12" i="16"/>
  <c r="I11" i="16"/>
  <c r="C5" i="1"/>
  <c r="G10" i="10"/>
  <c r="G11" i="12"/>
  <c r="C13" i="1"/>
  <c r="G10" i="16"/>
  <c r="C8" i="1"/>
  <c r="I10" i="18"/>
  <c r="C4" i="1"/>
  <c r="G10" i="19"/>
  <c r="C10" i="1"/>
  <c r="I10" i="16"/>
  <c r="C9" i="1"/>
  <c r="I10" i="19"/>
  <c r="C12" i="1"/>
  <c r="C7" i="1"/>
  <c r="G12" i="12"/>
  <c r="K10" i="16"/>
  <c r="K12" i="16"/>
  <c r="G12" i="16"/>
  <c r="G10" i="18"/>
  <c r="G10" i="12"/>
  <c r="G11" i="16"/>
  <c r="C6" i="1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</calcChain>
</file>

<file path=xl/sharedStrings.xml><?xml version="1.0" encoding="utf-8"?>
<sst xmlns="http://schemas.openxmlformats.org/spreadsheetml/2006/main" count="334" uniqueCount="110">
  <si>
    <t>Export?</t>
  </si>
  <si>
    <t>0,0,0,255</t>
  </si>
  <si>
    <t>100,450</t>
  </si>
  <si>
    <t>100,500</t>
  </si>
  <si>
    <t>100,550</t>
  </si>
  <si>
    <t>300,50</t>
  </si>
  <si>
    <t>50,250</t>
  </si>
  <si>
    <t>Assets &amp; objects lookup data</t>
  </si>
  <si>
    <t>New game</t>
  </si>
  <si>
    <t>Нова игра</t>
  </si>
  <si>
    <t>Settings</t>
  </si>
  <si>
    <t>Quit</t>
  </si>
  <si>
    <t>Изход</t>
  </si>
  <si>
    <t>Настройки</t>
  </si>
  <si>
    <t>580,100</t>
  </si>
  <si>
    <t>580,140</t>
  </si>
  <si>
    <t>580,180</t>
  </si>
  <si>
    <t>560,80,160,144</t>
  </si>
  <si>
    <t>Type</t>
  </si>
  <si>
    <t>Name</t>
  </si>
  <si>
    <t>FileName</t>
  </si>
  <si>
    <t>Frames</t>
  </si>
  <si>
    <t>Size</t>
  </si>
  <si>
    <t>WrapAlign</t>
  </si>
  <si>
    <t>Color</t>
  </si>
  <si>
    <t>FontId</t>
  </si>
  <si>
    <t>WrapWidth</t>
  </si>
  <si>
    <t>EN</t>
  </si>
  <si>
    <t>BG</t>
  </si>
  <si>
    <t>Volume</t>
  </si>
  <si>
    <t>LogoBig</t>
  </si>
  <si>
    <t>Button_120x24</t>
  </si>
  <si>
    <t>Checkbox</t>
  </si>
  <si>
    <t>RadioButton</t>
  </si>
  <si>
    <t>Textbox_280x24</t>
  </si>
  <si>
    <t>TerrainTiles</t>
  </si>
  <si>
    <t>Consola_12</t>
  </si>
  <si>
    <t>Consola_14</t>
  </si>
  <si>
    <t>Consola_18</t>
  </si>
  <si>
    <t>Arial_12</t>
  </si>
  <si>
    <t>Arial_14</t>
  </si>
  <si>
    <t>Arial_18</t>
  </si>
  <si>
    <t>ButtonStartMenuNewGame</t>
  </si>
  <si>
    <t>ButtonStartMenuQuit</t>
  </si>
  <si>
    <t>ButtonStartMenuSettings</t>
  </si>
  <si>
    <t>MouseClick</t>
  </si>
  <si>
    <t>Image</t>
  </si>
  <si>
    <t>String</t>
  </si>
  <si>
    <t>Int</t>
  </si>
  <si>
    <t>Font</t>
  </si>
  <si>
    <t>Text</t>
  </si>
  <si>
    <t>Sound</t>
  </si>
  <si>
    <t>Music</t>
  </si>
  <si>
    <t>IntArray</t>
  </si>
  <si>
    <t>Position</t>
  </si>
  <si>
    <t>ImageId</t>
  </si>
  <si>
    <t>TextId</t>
  </si>
  <si>
    <t>SoundId</t>
  </si>
  <si>
    <t>MaximumChars</t>
  </si>
  <si>
    <t>TextColor</t>
  </si>
  <si>
    <t>ComponentIds</t>
  </si>
  <si>
    <t>Id</t>
  </si>
  <si>
    <t>ImageBox</t>
  </si>
  <si>
    <t>LabelHelloWorld</t>
  </si>
  <si>
    <t>Button</t>
  </si>
  <si>
    <t>Label</t>
  </si>
  <si>
    <t>Textbox</t>
  </si>
  <si>
    <t>Menu</t>
  </si>
  <si>
    <t>StartMenu</t>
  </si>
  <si>
    <t>ButtonStartMenuNewGame,ButtonStartMenuSettings,ButtonStartMenuQuit</t>
  </si>
  <si>
    <t>TextBox</t>
  </si>
  <si>
    <t>Image=1;Font=7;Text=13;Sound=16;Music=17;ImageBox=17;Label=18;Button=19;Checkbox=22;RadioButton=23;TextBox=24;Menu=25;</t>
  </si>
  <si>
    <t>Components</t>
  </si>
  <si>
    <t>0,1,2</t>
  </si>
  <si>
    <t>Type=Text;Id=0;Name=ButtonStartMenuNewGame;Color=0,0,0,255;Font=Arial_14;FontId=4;WrapWidth=100;EN=New game;BG=Нова игра;</t>
  </si>
  <si>
    <t>Type=Text;Id=1;Name=ButtonStartMenuSettings;Color=0,0,0,255;Font=Arial_14;FontId=4;WrapWidth=100;EN=Settings;BG=Настройки;</t>
  </si>
  <si>
    <t>Type=Text;Id=2;Name=ButtonStartMenuQuit;Color=0,0,0,255;Font=Arial_14;FontId=4;WrapWidth=100;EN=Quit;BG=Изход;</t>
  </si>
  <si>
    <t>Type=ImageBox;Id=0;Name=LogoBig;Position=300,50;Image=LogoBig;ImageId=0;</t>
  </si>
  <si>
    <t>Type=Label;Id=0;Name=LabelHelloWorld;Position=50,250;Text=ButtonStartMenuNewGame;TextId=0;</t>
  </si>
  <si>
    <t>Type=Button;Id=0;Name=ButtonStartMenuNewGame;Position=580,100;Image=Button_120x24;ImageId=1;Text=ButtonStartMenuNewGame;TextId=0;Sound=MouseClick;SoundId=0;</t>
  </si>
  <si>
    <t>Type=Button;Id=1;Name=ButtonStartMenuSettings;Position=580,140;Image=Button_120x24;ImageId=1;Text=ButtonStartMenuSettings;TextId=1;Sound=MouseClick;SoundId=0;</t>
  </si>
  <si>
    <t>Type=Button;Id=2;Name=ButtonStartMenuQuit;Position=580,180;Image=Button_120x24;ImageId=1;Text=ButtonStartMenuQuit;TextId=2;Sound=MouseClick;SoundId=0;</t>
  </si>
  <si>
    <t>Type=Checkbox;Id=0;Name=Checkbox;Position=100,450;Image=Checkbox;ImageId=2;Text=ButtonStartMenuNewGame;TextId=0;</t>
  </si>
  <si>
    <t>Type=RadioButton;Id=0;Name=RadioButton;Position=100,500;Image=RadioButton;ImageId=3;Text=ButtonStartMenuNewGame;TextId=0;Sound=MouseClick;SoundId=0;</t>
  </si>
  <si>
    <t>Type=Textbox;Id=0;Name=Textbox;Position=100,550;Image=Textbox_280x24;ImageId=4;Font=Consola_12;FontId=0;MaximumChars=32;TextColor=0,0,0,255;</t>
  </si>
  <si>
    <t>Type=Menu;Id=0;Name=StartMenu;Position=560,80,160,144;Components=ButtonStartMenuNewGame,ButtonStartMenuSettings,ButtonStartMenuQuit;ComponentIds=0,1,2;</t>
  </si>
  <si>
    <t>StartLine</t>
  </si>
  <si>
    <t>Count</t>
  </si>
  <si>
    <t>Assets/Images/logo_big.png</t>
  </si>
  <si>
    <t>Assets/Images/Terrain/terrain_tiles.png</t>
  </si>
  <si>
    <t>Assets/Images/UI/textbox_280x24.png</t>
  </si>
  <si>
    <t>Assets/Images/UI/radio_button.png</t>
  </si>
  <si>
    <t>Assets/Images/UI/checkbox.png</t>
  </si>
  <si>
    <t>Assets/Images/UI/button_120x24.png</t>
  </si>
  <si>
    <t>Assets/Fonts/Consola.ttf</t>
  </si>
  <si>
    <t>Assets/Fonts/Arial.ttf</t>
  </si>
  <si>
    <t>Assets/Sounds/Clicks/mouse_click.wav</t>
  </si>
  <si>
    <t>Type=Image;Id=0;Name=LogoBig;FileName=Assets/Images/logo_big.png;Frames=1;</t>
  </si>
  <si>
    <t>Type=Image;Id=1;Name=Button_120x24;FileName=Assets/Images/UI/button_120x24.png;Frames=3;</t>
  </si>
  <si>
    <t>Type=Image;Id=2;Name=Checkbox;FileName=Assets/Images/UI/checkbox.png;Frames=2;</t>
  </si>
  <si>
    <t>Type=Image;Id=3;Name=RadioButton;FileName=Assets/Images/UI/radio_button.png;Frames=2;</t>
  </si>
  <si>
    <t>Type=Image;Id=4;Name=Textbox_280x24;FileName=Assets/Images/UI/textbox_280x24.png;Frames=1;</t>
  </si>
  <si>
    <t>Type=Image;Id=5;Name=TerrainTiles;FileName=Assets/Images/Terrain/terrain_tiles.png;Frames=8;</t>
  </si>
  <si>
    <t>Type=Font;Id=0;Name=Consola_12;FileName=Assets/Fonts/Consola.ttf;Size=12;WrapAlign=1;</t>
  </si>
  <si>
    <t>Type=Font;Id=1;Name=Consola_14;FileName=Assets/Fonts/Consola.ttf;Size=14;WrapAlign=1;</t>
  </si>
  <si>
    <t>Type=Font;Id=2;Name=Consola_18;FileName=Assets/Fonts/Consola.ttf;Size=18;WrapAlign=1;</t>
  </si>
  <si>
    <t>Type=Font;Id=3;Name=Arial_12;FileName=Assets/Fonts/Arial.ttf;Size=12;WrapAlign=1;</t>
  </si>
  <si>
    <t>Type=Font;Id=4;Name=Arial_14;FileName=Assets/Fonts/Arial.ttf;Size=14;WrapAlign=1;</t>
  </si>
  <si>
    <t>Type=Font;Id=5;Name=Arial_18;FileName=Assets/Fonts/Arial.ttf;Size=18;WrapAlign=1;</t>
  </si>
  <si>
    <t>Type=Sound;Id=0;Name=MouseClick;FileName=Assets/Sounds/Clicks/mouse_click.wav;Volume=128;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</si>
</sst>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3" fontId="0" fillId="0" borderId="4" xfId="0" applyNumberFormat="1" applyFill="1" applyBorder="1"/>
    <xf numFmtId="3" fontId="0" fillId="0" borderId="3" xfId="0" applyNumberFormat="1" applyFill="1" applyBorder="1"/>
    <xf numFmtId="3" fontId="0" fillId="0" borderId="2" xfId="0" applyNumberFormat="1" applyFill="1" applyBorder="1"/>
    <xf numFmtId="3" fontId="0" fillId="0" borderId="1" xfId="0" applyNumberFormat="1" applyFill="1" applyBorder="1"/>
  </cellXfs>
  <cellStyles count="1">
    <cellStyle name="Normal" xfId="0" builtinId="0"/>
  </cellStyles>
  <dxfs count="62"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" formatCode="#,##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Ids" displayName="ImageIds" ref="D10:D15" headerRowCount="0" totalsRowShown="0" headerRowDxfId="61" dataDxfId="60" tableBorderDxfId="59">
  <tableColumns count="1">
    <tableColumn id="1" name="Column1" headerRowDxfId="58" dataDxfId="57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4" name="FontIds" displayName="FontIds" ref="D10:D15" headerRowCount="0" totalsRowShown="0" headerRowDxfId="56" dataDxfId="55">
  <tableColumns count="1">
    <tableColumn id="1" name="Column1" headerRowDxfId="54" dataDxfId="53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20" name="TextIds" displayName="TextIds" ref="D10:D12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6" name="SoundIds" displayName="SoundIds" ref="D10:E10" headerRowCount="0" totalsRowShown="0" headerRowDxfId="48" dataDxfId="47">
  <tableColumns count="2">
    <tableColumn id="1" name="Column1" headerRowDxfId="46" dataDxfId="45"/>
    <tableColumn id="2" name="Column2" headerRowDxfId="44" dataDxfId="4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32" name="MusicIds" displayName="MusicIds" ref="D10:E10" headerRowCount="0" totalsRowShown="0" headerRowDxfId="42" dataDxfId="41">
  <tableColumns count="2">
    <tableColumn id="1" name="Column1" headerRowDxfId="40" dataDxfId="39"/>
    <tableColumn id="2" name="Column2" headerRowDxfId="38" dataDxfId="37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BoxIds" displayName="ImageBoxIds" ref="D10" headerRowCount="0" totalsRowShown="0" headerRowDxfId="36" dataDxfId="35">
  <tableColumns count="1">
    <tableColumn id="1" name="Column1" headerRowDxfId="34" dataDxfId="33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34" name="LabelIds" displayName="LabelIds" ref="D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42" name="ButtonIds" displayName="ButtonIds" ref="D10:D12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50" name="CheckboxIds" displayName="CheckboxIds" ref="D10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58" name="RadioButtonIds" displayName="RadioButtonIds" ref="D10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66" name="TextboxIds" displayName="TextboxIds" ref="D10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74" name="MenuIds" displayName="MenuIds" ref="D10:G10" headerRowCount="0" totalsRowShown="0" headerRowDxfId="12" dataDxfId="10" headerRowBorderDxfId="11" tableBorderDxfId="9" totalsRowBorderDxfId="8">
  <tableColumns count="4">
    <tableColumn id="1" name="Column1" headerRowDxfId="7" dataDxfId="6"/>
    <tableColumn id="2" name="Column2" headerRowDxfId="5" dataDxfId="4"/>
    <tableColumn id="3" name="Column3" headerRowDxfId="3" dataDxfId="2"/>
    <tableColumn id="4" name="Column4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tabSelected="1" workbookViewId="0">
      <selection activeCell="I26" sqref="I26"/>
    </sheetView>
  </sheetViews>
  <sheetFormatPr defaultRowHeight="12.75" x14ac:dyDescent="0.2"/>
  <sheetData>
    <row r="1" spans="1:1" x14ac:dyDescent="0.2">
      <c r="A1" t="s">
        <v>71</v>
      </c>
    </row>
    <row r="2" spans="1:1" x14ac:dyDescent="0.2">
      <c r="A2" t="s">
        <v>97</v>
      </c>
    </row>
    <row r="3" spans="1:1" x14ac:dyDescent="0.2">
      <c r="A3" t="s">
        <v>98</v>
      </c>
    </row>
    <row r="4" spans="1:1" x14ac:dyDescent="0.2">
      <c r="A4" t="s">
        <v>99</v>
      </c>
    </row>
    <row r="5" spans="1:1" x14ac:dyDescent="0.2">
      <c r="A5" t="s">
        <v>100</v>
      </c>
    </row>
    <row r="6" spans="1:1" x14ac:dyDescent="0.2">
      <c r="A6" t="s">
        <v>101</v>
      </c>
    </row>
    <row r="7" spans="1:1" x14ac:dyDescent="0.2">
      <c r="A7" t="s">
        <v>102</v>
      </c>
    </row>
    <row r="8" spans="1:1" x14ac:dyDescent="0.2">
      <c r="A8" t="s">
        <v>103</v>
      </c>
    </row>
    <row r="9" spans="1:1" x14ac:dyDescent="0.2">
      <c r="A9" t="s">
        <v>104</v>
      </c>
    </row>
    <row r="10" spans="1:1" x14ac:dyDescent="0.2">
      <c r="A10" t="s">
        <v>105</v>
      </c>
    </row>
    <row r="11" spans="1:1" x14ac:dyDescent="0.2">
      <c r="A11" t="s">
        <v>106</v>
      </c>
    </row>
    <row r="12" spans="1:1" x14ac:dyDescent="0.2">
      <c r="A12" t="s">
        <v>107</v>
      </c>
    </row>
    <row r="13" spans="1:1" x14ac:dyDescent="0.2">
      <c r="A13" t="s">
        <v>108</v>
      </c>
    </row>
    <row r="14" spans="1:1" x14ac:dyDescent="0.2">
      <c r="A14" t="s">
        <v>74</v>
      </c>
    </row>
    <row r="15" spans="1:1" x14ac:dyDescent="0.2">
      <c r="A15" t="s">
        <v>75</v>
      </c>
    </row>
    <row r="16" spans="1:1" x14ac:dyDescent="0.2">
      <c r="A16" t="s">
        <v>76</v>
      </c>
    </row>
    <row r="17" spans="1:1" x14ac:dyDescent="0.2">
      <c r="A17" t="s">
        <v>109</v>
      </c>
    </row>
    <row r="18" spans="1:1" x14ac:dyDescent="0.2">
      <c r="A18" t="s">
        <v>77</v>
      </c>
    </row>
    <row r="19" spans="1:1" x14ac:dyDescent="0.2">
      <c r="A19" t="s">
        <v>78</v>
      </c>
    </row>
    <row r="20" spans="1:1" x14ac:dyDescent="0.2">
      <c r="A20" t="s">
        <v>79</v>
      </c>
    </row>
    <row r="21" spans="1:1" x14ac:dyDescent="0.2">
      <c r="A21" t="s">
        <v>80</v>
      </c>
    </row>
    <row r="22" spans="1:1" x14ac:dyDescent="0.2">
      <c r="A22" t="s">
        <v>81</v>
      </c>
    </row>
    <row r="23" spans="1:1" x14ac:dyDescent="0.2">
      <c r="A23" t="s">
        <v>82</v>
      </c>
    </row>
    <row r="24" spans="1:1" x14ac:dyDescent="0.2">
      <c r="A24" t="s">
        <v>83</v>
      </c>
    </row>
    <row r="25" spans="1:1" x14ac:dyDescent="0.2">
      <c r="A25" t="s">
        <v>84</v>
      </c>
    </row>
    <row r="26" spans="1:1" x14ac:dyDescent="0.2">
      <c r="A26" t="s">
        <v>85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B3" sqref="B3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7</v>
      </c>
      <c r="B1" s="1"/>
      <c r="C1" s="1"/>
    </row>
    <row r="2" spans="1:3" x14ac:dyDescent="0.2">
      <c r="A2" s="1" t="s">
        <v>18</v>
      </c>
      <c r="B2" s="1" t="s">
        <v>86</v>
      </c>
      <c r="C2" s="1" t="s">
        <v>87</v>
      </c>
    </row>
    <row r="3" spans="1:3" x14ac:dyDescent="0.2">
      <c r="A3" s="2" t="s">
        <v>46</v>
      </c>
      <c r="B3" s="2">
        <v>1</v>
      </c>
      <c r="C3" s="2">
        <f ca="1">COUNTIFS(INDIRECT(A3&amp;"!A:A"),TRUE)</f>
        <v>6</v>
      </c>
    </row>
    <row r="4" spans="1:3" x14ac:dyDescent="0.2">
      <c r="A4" s="2" t="s">
        <v>49</v>
      </c>
      <c r="B4" s="2">
        <f ca="1">B3+C3</f>
        <v>7</v>
      </c>
      <c r="C4" s="2">
        <f t="shared" ref="C4:C14" ca="1" si="0">COUNTIFS(INDIRECT(A4&amp;"!A:A"),TRUE)</f>
        <v>6</v>
      </c>
    </row>
    <row r="5" spans="1:3" x14ac:dyDescent="0.2">
      <c r="A5" s="2" t="s">
        <v>50</v>
      </c>
      <c r="B5" s="2">
        <f t="shared" ref="B5:B14" ca="1" si="1">B4+C4</f>
        <v>13</v>
      </c>
      <c r="C5" s="2">
        <f t="shared" ca="1" si="0"/>
        <v>3</v>
      </c>
    </row>
    <row r="6" spans="1:3" x14ac:dyDescent="0.2">
      <c r="A6" s="2" t="s">
        <v>51</v>
      </c>
      <c r="B6" s="2">
        <f t="shared" ca="1" si="1"/>
        <v>16</v>
      </c>
      <c r="C6" s="2">
        <f t="shared" ca="1" si="0"/>
        <v>1</v>
      </c>
    </row>
    <row r="7" spans="1:3" x14ac:dyDescent="0.2">
      <c r="A7" s="2" t="s">
        <v>52</v>
      </c>
      <c r="B7" s="2">
        <f t="shared" ca="1" si="1"/>
        <v>17</v>
      </c>
      <c r="C7" s="2">
        <f t="shared" ca="1" si="0"/>
        <v>0</v>
      </c>
    </row>
    <row r="8" spans="1:3" x14ac:dyDescent="0.2">
      <c r="A8" s="3" t="s">
        <v>62</v>
      </c>
      <c r="B8" s="3">
        <f t="shared" ca="1" si="1"/>
        <v>17</v>
      </c>
      <c r="C8" s="3">
        <f t="shared" ca="1" si="0"/>
        <v>1</v>
      </c>
    </row>
    <row r="9" spans="1:3" x14ac:dyDescent="0.2">
      <c r="A9" s="3" t="s">
        <v>65</v>
      </c>
      <c r="B9" s="3">
        <f t="shared" ca="1" si="1"/>
        <v>18</v>
      </c>
      <c r="C9" s="3">
        <f t="shared" ca="1" si="0"/>
        <v>1</v>
      </c>
    </row>
    <row r="10" spans="1:3" x14ac:dyDescent="0.2">
      <c r="A10" s="3" t="s">
        <v>64</v>
      </c>
      <c r="B10" s="3">
        <f t="shared" ca="1" si="1"/>
        <v>19</v>
      </c>
      <c r="C10" s="3">
        <f t="shared" ca="1" si="0"/>
        <v>3</v>
      </c>
    </row>
    <row r="11" spans="1:3" x14ac:dyDescent="0.2">
      <c r="A11" s="3" t="s">
        <v>32</v>
      </c>
      <c r="B11" s="3">
        <f t="shared" ca="1" si="1"/>
        <v>22</v>
      </c>
      <c r="C11" s="3">
        <f t="shared" ca="1" si="0"/>
        <v>1</v>
      </c>
    </row>
    <row r="12" spans="1:3" x14ac:dyDescent="0.2">
      <c r="A12" s="3" t="s">
        <v>33</v>
      </c>
      <c r="B12" s="3">
        <f t="shared" ca="1" si="1"/>
        <v>23</v>
      </c>
      <c r="C12" s="3">
        <f t="shared" ca="1" si="0"/>
        <v>1</v>
      </c>
    </row>
    <row r="13" spans="1:3" x14ac:dyDescent="0.2">
      <c r="A13" s="3" t="s">
        <v>70</v>
      </c>
      <c r="B13" s="3">
        <f t="shared" ca="1" si="1"/>
        <v>24</v>
      </c>
      <c r="C13" s="3">
        <f t="shared" ca="1" si="0"/>
        <v>1</v>
      </c>
    </row>
    <row r="14" spans="1:3" x14ac:dyDescent="0.2">
      <c r="A14" s="3" t="s">
        <v>67</v>
      </c>
      <c r="B14" s="3">
        <f t="shared" ca="1" si="1"/>
        <v>25</v>
      </c>
      <c r="C14" s="3">
        <f t="shared" ca="1" si="0"/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F15"/>
  <sheetViews>
    <sheetView topLeftCell="A8" workbookViewId="0">
      <selection activeCell="E21" sqref="E21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21</v>
      </c>
    </row>
    <row r="10" spans="1:6" x14ac:dyDescent="0.2">
      <c r="A10" s="6" t="b">
        <v>1</v>
      </c>
      <c r="B10" s="6" t="s">
        <v>46</v>
      </c>
      <c r="C10" s="6">
        <v>0</v>
      </c>
      <c r="D10" s="7" t="s">
        <v>30</v>
      </c>
      <c r="E10" s="6" t="s">
        <v>88</v>
      </c>
      <c r="F10" s="6">
        <v>1</v>
      </c>
    </row>
    <row r="11" spans="1:6" x14ac:dyDescent="0.2">
      <c r="A11" s="6" t="b">
        <v>1</v>
      </c>
      <c r="B11" s="6" t="s">
        <v>46</v>
      </c>
      <c r="C11" s="6">
        <f>C10+1</f>
        <v>1</v>
      </c>
      <c r="D11" s="8" t="s">
        <v>31</v>
      </c>
      <c r="E11" s="6" t="s">
        <v>93</v>
      </c>
      <c r="F11" s="6">
        <v>3</v>
      </c>
    </row>
    <row r="12" spans="1:6" x14ac:dyDescent="0.2">
      <c r="A12" s="6" t="b">
        <v>1</v>
      </c>
      <c r="B12" s="6" t="s">
        <v>46</v>
      </c>
      <c r="C12" s="6">
        <f t="shared" ref="C12:C15" si="0">C11+1</f>
        <v>2</v>
      </c>
      <c r="D12" s="8" t="s">
        <v>32</v>
      </c>
      <c r="E12" s="6" t="s">
        <v>92</v>
      </c>
      <c r="F12" s="6">
        <v>2</v>
      </c>
    </row>
    <row r="13" spans="1:6" x14ac:dyDescent="0.2">
      <c r="A13" s="6" t="b">
        <v>1</v>
      </c>
      <c r="B13" s="6" t="s">
        <v>46</v>
      </c>
      <c r="C13" s="6">
        <f t="shared" si="0"/>
        <v>3</v>
      </c>
      <c r="D13" s="8" t="s">
        <v>33</v>
      </c>
      <c r="E13" s="6" t="s">
        <v>91</v>
      </c>
      <c r="F13" s="6">
        <v>2</v>
      </c>
    </row>
    <row r="14" spans="1:6" x14ac:dyDescent="0.2">
      <c r="A14" s="6" t="b">
        <v>1</v>
      </c>
      <c r="B14" s="6" t="s">
        <v>46</v>
      </c>
      <c r="C14" s="6">
        <f t="shared" si="0"/>
        <v>4</v>
      </c>
      <c r="D14" s="8" t="s">
        <v>34</v>
      </c>
      <c r="E14" s="6" t="s">
        <v>90</v>
      </c>
      <c r="F14" s="6">
        <v>1</v>
      </c>
    </row>
    <row r="15" spans="1:6" x14ac:dyDescent="0.2">
      <c r="A15" s="6" t="b">
        <v>1</v>
      </c>
      <c r="B15" s="6" t="s">
        <v>46</v>
      </c>
      <c r="C15" s="6">
        <f t="shared" si="0"/>
        <v>5</v>
      </c>
      <c r="D15" s="9" t="s">
        <v>35</v>
      </c>
      <c r="E15" s="6" t="s">
        <v>89</v>
      </c>
      <c r="F15" s="6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5"/>
  <sheetViews>
    <sheetView topLeftCell="A8" workbookViewId="0">
      <selection activeCell="E11" sqref="E10:E15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7" width="12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22</v>
      </c>
      <c r="G9" s="5" t="s">
        <v>23</v>
      </c>
    </row>
    <row r="10" spans="1:7" x14ac:dyDescent="0.2">
      <c r="A10" s="6" t="b">
        <v>1</v>
      </c>
      <c r="B10" s="6" t="s">
        <v>49</v>
      </c>
      <c r="C10" s="6">
        <v>0</v>
      </c>
      <c r="D10" s="10" t="s">
        <v>36</v>
      </c>
      <c r="E10" s="6" t="s">
        <v>94</v>
      </c>
      <c r="F10" s="6">
        <v>12</v>
      </c>
      <c r="G10" s="6">
        <v>1</v>
      </c>
    </row>
    <row r="11" spans="1:7" x14ac:dyDescent="0.2">
      <c r="A11" s="6" t="b">
        <v>1</v>
      </c>
      <c r="B11" s="6" t="s">
        <v>49</v>
      </c>
      <c r="C11" s="6">
        <f>C10+1</f>
        <v>1</v>
      </c>
      <c r="D11" s="10" t="s">
        <v>37</v>
      </c>
      <c r="E11" s="6" t="s">
        <v>94</v>
      </c>
      <c r="F11" s="6">
        <v>14</v>
      </c>
      <c r="G11" s="6">
        <v>1</v>
      </c>
    </row>
    <row r="12" spans="1:7" x14ac:dyDescent="0.2">
      <c r="A12" s="6" t="b">
        <v>1</v>
      </c>
      <c r="B12" s="6" t="s">
        <v>49</v>
      </c>
      <c r="C12" s="6">
        <f t="shared" ref="C12:C15" si="0">C11+1</f>
        <v>2</v>
      </c>
      <c r="D12" s="10" t="s">
        <v>38</v>
      </c>
      <c r="E12" s="6" t="s">
        <v>94</v>
      </c>
      <c r="F12" s="6">
        <v>18</v>
      </c>
      <c r="G12" s="6">
        <v>1</v>
      </c>
    </row>
    <row r="13" spans="1:7" x14ac:dyDescent="0.2">
      <c r="A13" s="6" t="b">
        <v>1</v>
      </c>
      <c r="B13" s="6" t="s">
        <v>49</v>
      </c>
      <c r="C13" s="6">
        <f t="shared" si="0"/>
        <v>3</v>
      </c>
      <c r="D13" s="10" t="s">
        <v>39</v>
      </c>
      <c r="E13" s="6" t="s">
        <v>95</v>
      </c>
      <c r="F13" s="6">
        <v>12</v>
      </c>
      <c r="G13" s="6">
        <v>1</v>
      </c>
    </row>
    <row r="14" spans="1:7" x14ac:dyDescent="0.2">
      <c r="A14" s="6" t="b">
        <v>1</v>
      </c>
      <c r="B14" s="6" t="s">
        <v>49</v>
      </c>
      <c r="C14" s="6">
        <f t="shared" si="0"/>
        <v>4</v>
      </c>
      <c r="D14" s="10" t="s">
        <v>40</v>
      </c>
      <c r="E14" s="6" t="s">
        <v>95</v>
      </c>
      <c r="F14" s="6">
        <v>14</v>
      </c>
      <c r="G14" s="6">
        <v>1</v>
      </c>
    </row>
    <row r="15" spans="1:7" x14ac:dyDescent="0.2">
      <c r="A15" s="6" t="b">
        <v>1</v>
      </c>
      <c r="B15" s="6" t="s">
        <v>49</v>
      </c>
      <c r="C15" s="6">
        <f t="shared" si="0"/>
        <v>5</v>
      </c>
      <c r="D15" s="10" t="s">
        <v>41</v>
      </c>
      <c r="E15" s="6" t="s">
        <v>95</v>
      </c>
      <c r="F15" s="6">
        <v>18</v>
      </c>
      <c r="G15" s="6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J12"/>
  <sheetViews>
    <sheetView topLeftCell="A8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2.7109375" style="4" customWidth="1"/>
    <col min="6" max="8" width="15.7109375" style="4" customWidth="1"/>
    <col min="9" max="10" width="30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hidden="1" x14ac:dyDescent="0.2"/>
    <row r="8" spans="1:10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  <c r="G8" s="5" t="s">
        <v>48</v>
      </c>
      <c r="H8" s="5" t="s">
        <v>48</v>
      </c>
      <c r="I8" s="5" t="s">
        <v>47</v>
      </c>
      <c r="J8" s="5" t="s">
        <v>47</v>
      </c>
    </row>
    <row r="9" spans="1:10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24</v>
      </c>
      <c r="F9" s="5" t="s">
        <v>49</v>
      </c>
      <c r="G9" s="5" t="s">
        <v>25</v>
      </c>
      <c r="H9" s="5" t="s">
        <v>26</v>
      </c>
      <c r="I9" s="5" t="s">
        <v>27</v>
      </c>
      <c r="J9" s="5" t="s">
        <v>28</v>
      </c>
    </row>
    <row r="10" spans="1:10" x14ac:dyDescent="0.2">
      <c r="A10" s="6" t="b">
        <v>1</v>
      </c>
      <c r="B10" s="6" t="s">
        <v>50</v>
      </c>
      <c r="C10" s="6">
        <v>0</v>
      </c>
      <c r="D10" s="10" t="s">
        <v>42</v>
      </c>
      <c r="E10" s="10" t="s">
        <v>1</v>
      </c>
      <c r="F10" s="6" t="s">
        <v>40</v>
      </c>
      <c r="G10" s="6">
        <f ca="1">INDIRECT(F$9&amp;"!C"&amp;MATCH(F10,INDIRECT(F$9&amp;"!D:D"),0))</f>
        <v>4</v>
      </c>
      <c r="H10" s="6">
        <v>100</v>
      </c>
      <c r="I10" s="6" t="s">
        <v>8</v>
      </c>
      <c r="J10" s="6" t="s">
        <v>9</v>
      </c>
    </row>
    <row r="11" spans="1:10" x14ac:dyDescent="0.2">
      <c r="A11" s="6" t="b">
        <v>1</v>
      </c>
      <c r="B11" s="6" t="s">
        <v>50</v>
      </c>
      <c r="C11" s="6">
        <f>C10+1</f>
        <v>1</v>
      </c>
      <c r="D11" s="10" t="s">
        <v>44</v>
      </c>
      <c r="E11" s="10" t="s">
        <v>1</v>
      </c>
      <c r="F11" s="6" t="s">
        <v>40</v>
      </c>
      <c r="G11" s="6">
        <f t="shared" ref="G11:G12" ca="1" si="0">INDIRECT(F$9&amp;"!C"&amp;MATCH(F11,INDIRECT(F$9&amp;"!D:D"),0))</f>
        <v>4</v>
      </c>
      <c r="H11" s="6">
        <v>100</v>
      </c>
      <c r="I11" s="6" t="s">
        <v>10</v>
      </c>
      <c r="J11" s="6" t="s">
        <v>13</v>
      </c>
    </row>
    <row r="12" spans="1:10" x14ac:dyDescent="0.2">
      <c r="A12" s="6" t="b">
        <v>1</v>
      </c>
      <c r="B12" s="6" t="s">
        <v>50</v>
      </c>
      <c r="C12" s="6">
        <f>C11+1</f>
        <v>2</v>
      </c>
      <c r="D12" s="10" t="s">
        <v>43</v>
      </c>
      <c r="E12" s="10" t="s">
        <v>1</v>
      </c>
      <c r="F12" s="6" t="s">
        <v>40</v>
      </c>
      <c r="G12" s="6">
        <f t="shared" ca="1" si="0"/>
        <v>4</v>
      </c>
      <c r="H12" s="6">
        <v>100</v>
      </c>
      <c r="I12" s="6" t="s">
        <v>11</v>
      </c>
      <c r="J12" s="6" t="s">
        <v>12</v>
      </c>
    </row>
  </sheetData>
  <dataValidations disablePrompts="1" count="1">
    <dataValidation type="list" allowBlank="1" showInputMessage="1" showErrorMessage="1" sqref="F10:F1048576">
      <formula1>INDIRECT("FontIds")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F10"/>
  <sheetViews>
    <sheetView topLeftCell="A8" workbookViewId="0">
      <selection activeCell="E14" sqref="E14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29</v>
      </c>
    </row>
    <row r="10" spans="1:6" x14ac:dyDescent="0.2">
      <c r="A10" s="6" t="b">
        <v>1</v>
      </c>
      <c r="B10" s="6" t="s">
        <v>51</v>
      </c>
      <c r="C10" s="6">
        <v>0</v>
      </c>
      <c r="D10" s="10" t="s">
        <v>45</v>
      </c>
      <c r="E10" s="10" t="s">
        <v>96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F10"/>
  <sheetViews>
    <sheetView topLeftCell="A8" workbookViewId="0">
      <selection activeCell="E15" sqref="E15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29</v>
      </c>
    </row>
    <row r="10" spans="1:6" x14ac:dyDescent="0.2">
      <c r="A10" s="6"/>
      <c r="B10" s="6" t="s">
        <v>52</v>
      </c>
      <c r="C10" s="6">
        <v>0</v>
      </c>
      <c r="D10" s="10" t="s">
        <v>45</v>
      </c>
      <c r="E10" s="10" t="s">
        <v>96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</row>
    <row r="10" spans="1:7" x14ac:dyDescent="0.2">
      <c r="A10" s="6" t="b">
        <v>1</v>
      </c>
      <c r="B10" s="6" t="s">
        <v>62</v>
      </c>
      <c r="C10" s="6">
        <v>0</v>
      </c>
      <c r="D10" s="10" t="s">
        <v>30</v>
      </c>
      <c r="E10" s="10" t="s">
        <v>5</v>
      </c>
      <c r="F10" s="6" t="s">
        <v>30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50</v>
      </c>
      <c r="G9" s="5" t="s">
        <v>56</v>
      </c>
    </row>
    <row r="10" spans="1:7" x14ac:dyDescent="0.2">
      <c r="A10" s="6" t="b">
        <v>1</v>
      </c>
      <c r="B10" s="6" t="s">
        <v>65</v>
      </c>
      <c r="C10" s="6">
        <v>0</v>
      </c>
      <c r="D10" s="10" t="s">
        <v>63</v>
      </c>
      <c r="E10" s="10" t="s">
        <v>6</v>
      </c>
      <c r="F10" s="6" t="s">
        <v>42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K12"/>
  <sheetViews>
    <sheetView topLeftCell="A8" zoomScaleNormal="100" workbookViewId="0">
      <selection activeCell="D13" sqref="D13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48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  <c r="J9" s="5" t="s">
        <v>51</v>
      </c>
      <c r="K9" s="5" t="s">
        <v>57</v>
      </c>
    </row>
    <row r="10" spans="1:11" x14ac:dyDescent="0.2">
      <c r="A10" s="6" t="b">
        <v>1</v>
      </c>
      <c r="B10" s="6" t="s">
        <v>64</v>
      </c>
      <c r="C10" s="6">
        <v>0</v>
      </c>
      <c r="D10" s="10" t="s">
        <v>42</v>
      </c>
      <c r="E10" s="10" t="s">
        <v>14</v>
      </c>
      <c r="F10" s="6" t="s">
        <v>31</v>
      </c>
      <c r="G10" s="6">
        <f ca="1">INDIRECT(F$9&amp;"!C"&amp;MATCH(F10,INDIRECT(F$9&amp;"!D:D"),0))</f>
        <v>1</v>
      </c>
      <c r="H10" s="6" t="s">
        <v>42</v>
      </c>
      <c r="I10" s="6">
        <f ca="1">INDIRECT(H$9&amp;"!C"&amp;MATCH(H10,INDIRECT(H$9&amp;"!D:D"),0))</f>
        <v>0</v>
      </c>
      <c r="J10" s="6" t="s">
        <v>45</v>
      </c>
      <c r="K10" s="6">
        <f ca="1">INDIRECT(J$9&amp;"!C"&amp;MATCH(J10,INDIRECT(J$9&amp;"!D:D"),0))</f>
        <v>0</v>
      </c>
    </row>
    <row r="11" spans="1:11" x14ac:dyDescent="0.2">
      <c r="A11" s="6" t="b">
        <v>1</v>
      </c>
      <c r="B11" s="6" t="s">
        <v>64</v>
      </c>
      <c r="C11" s="6">
        <f>C10+1</f>
        <v>1</v>
      </c>
      <c r="D11" s="10" t="s">
        <v>44</v>
      </c>
      <c r="E11" s="10" t="s">
        <v>15</v>
      </c>
      <c r="F11" s="6" t="s">
        <v>31</v>
      </c>
      <c r="G11" s="6">
        <f t="shared" ref="G11:I12" ca="1" si="0">INDIRECT(F$9&amp;"!C"&amp;MATCH(F11,INDIRECT(F$9&amp;"!D:D"),0))</f>
        <v>1</v>
      </c>
      <c r="H11" s="6" t="s">
        <v>44</v>
      </c>
      <c r="I11" s="6">
        <f t="shared" ca="1" si="0"/>
        <v>1</v>
      </c>
      <c r="J11" s="6" t="s">
        <v>45</v>
      </c>
      <c r="K11" s="6">
        <f t="shared" ref="K11" ca="1" si="1">INDIRECT(J$9&amp;"!C"&amp;MATCH(J11,INDIRECT(J$9&amp;"!D:D"),0))</f>
        <v>0</v>
      </c>
    </row>
    <row r="12" spans="1:11" x14ac:dyDescent="0.2">
      <c r="A12" s="6" t="b">
        <v>1</v>
      </c>
      <c r="B12" s="6" t="s">
        <v>64</v>
      </c>
      <c r="C12" s="6">
        <f>C11+1</f>
        <v>2</v>
      </c>
      <c r="D12" s="10" t="s">
        <v>43</v>
      </c>
      <c r="E12" s="10" t="s">
        <v>16</v>
      </c>
      <c r="F12" s="6" t="s">
        <v>31</v>
      </c>
      <c r="G12" s="6">
        <f t="shared" ca="1" si="0"/>
        <v>1</v>
      </c>
      <c r="H12" s="6" t="s">
        <v>43</v>
      </c>
      <c r="I12" s="6">
        <f t="shared" ca="1" si="0"/>
        <v>2</v>
      </c>
      <c r="J12" s="6" t="s">
        <v>45</v>
      </c>
      <c r="K12" s="6">
        <f t="shared" ref="K12" ca="1" si="2">INDIRECT(J$9&amp;"!C"&amp;MATCH(J12,INDIRECT(J$9&amp;"!D:D"),0))</f>
        <v>0</v>
      </c>
    </row>
  </sheetData>
  <dataValidations count="3">
    <dataValidation type="list" allowBlank="1" showInputMessage="1" showErrorMessage="1" sqref="J10:J1048576">
      <formula1>INDIRECT("SoundIds")</formula1>
    </dataValidation>
    <dataValidation type="list" allowBlank="1" showInputMessage="1" showErrorMessage="1" sqref="H10:H1048576">
      <formula1>INDIRECT("TextIds")</formula1>
    </dataValidation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I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6384" width="9.140625" style="4"/>
  </cols>
  <sheetData>
    <row r="1" spans="1:9" hidden="1" x14ac:dyDescent="0.2"/>
    <row r="2" spans="1:9" hidden="1" x14ac:dyDescent="0.2"/>
    <row r="3" spans="1:9" hidden="1" x14ac:dyDescent="0.2"/>
    <row r="4" spans="1:9" hidden="1" x14ac:dyDescent="0.2"/>
    <row r="5" spans="1:9" hidden="1" x14ac:dyDescent="0.2"/>
    <row r="6" spans="1:9" hidden="1" x14ac:dyDescent="0.2"/>
    <row r="7" spans="1:9" hidden="1" x14ac:dyDescent="0.2"/>
    <row r="8" spans="1:9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</row>
    <row r="9" spans="1:9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</row>
    <row r="10" spans="1:9" x14ac:dyDescent="0.2">
      <c r="A10" s="6" t="b">
        <v>1</v>
      </c>
      <c r="B10" s="6" t="s">
        <v>32</v>
      </c>
      <c r="C10" s="6">
        <v>0</v>
      </c>
      <c r="D10" s="10" t="s">
        <v>32</v>
      </c>
      <c r="E10" s="6" t="s">
        <v>2</v>
      </c>
      <c r="F10" s="6" t="s">
        <v>32</v>
      </c>
      <c r="G10" s="6">
        <f ca="1">INDIRECT(F$9&amp;"!C"&amp;MATCH(F10,INDIRECT(F$9&amp;"!D:D"),0))</f>
        <v>2</v>
      </c>
      <c r="H10" s="6" t="s">
        <v>42</v>
      </c>
      <c r="I10" s="6">
        <f ca="1">INDIRECT(H$9&amp;"!C"&amp;MATCH(H10,INDIRECT(H$9&amp;"!D:D"),0))</f>
        <v>0</v>
      </c>
    </row>
  </sheetData>
  <dataValidations count="2">
    <dataValidation type="list" allowBlank="1" showInputMessage="1" showErrorMessage="1" sqref="F10:F1048576">
      <formula1>INDIRECT("ImageIds")</formula1>
    </dataValidation>
    <dataValidation type="list" allowBlank="1" showInputMessage="1" showErrorMessage="1" sqref="H10:H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K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48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  <c r="J9" s="5" t="s">
        <v>51</v>
      </c>
      <c r="K9" s="5" t="s">
        <v>57</v>
      </c>
    </row>
    <row r="10" spans="1:11" x14ac:dyDescent="0.2">
      <c r="A10" s="6" t="b">
        <v>1</v>
      </c>
      <c r="B10" s="6" t="s">
        <v>33</v>
      </c>
      <c r="C10" s="6">
        <v>0</v>
      </c>
      <c r="D10" s="10" t="s">
        <v>33</v>
      </c>
      <c r="E10" s="6" t="s">
        <v>3</v>
      </c>
      <c r="F10" s="6" t="s">
        <v>33</v>
      </c>
      <c r="G10" s="6">
        <f ca="1">INDIRECT(F$9&amp;"!C"&amp;MATCH(F10,INDIRECT(F$9&amp;"!D:D"),0))</f>
        <v>3</v>
      </c>
      <c r="H10" s="6" t="s">
        <v>42</v>
      </c>
      <c r="I10" s="6">
        <f ca="1">INDIRECT(H$9&amp;"!C"&amp;MATCH(H10,INDIRECT(H$9&amp;"!D:D"),0))</f>
        <v>0</v>
      </c>
      <c r="J10" s="6" t="s">
        <v>45</v>
      </c>
      <c r="K10" s="6">
        <f ca="1">INDIRECT(J$9&amp;"!C"&amp;MATCH(J10,INDIRECT(J$9&amp;"!D:D"),0))</f>
        <v>0</v>
      </c>
    </row>
  </sheetData>
  <dataValidations count="3">
    <dataValidation type="list" allowBlank="1" showInputMessage="1" showErrorMessage="1" sqref="F10:F1048576">
      <formula1>INDIRECT("ImageIds")</formula1>
    </dataValidation>
    <dataValidation type="list" allowBlank="1" showInputMessage="1" showErrorMessage="1" sqref="H10:H1048576">
      <formula1>INDIRECT("TextIds")</formula1>
    </dataValidation>
    <dataValidation type="list" allowBlank="1" showInputMessage="1" showErrorMessage="1" sqref="J10:J1048576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K10"/>
  <sheetViews>
    <sheetView topLeftCell="A8" zoomScaleNormal="100" workbookViewId="0">
      <selection activeCell="I8" sqref="I1:I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10" width="15.7109375" style="4" customWidth="1"/>
    <col min="11" max="11" width="30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53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49</v>
      </c>
      <c r="I9" s="5" t="s">
        <v>25</v>
      </c>
      <c r="J9" s="5" t="s">
        <v>58</v>
      </c>
      <c r="K9" s="5" t="s">
        <v>59</v>
      </c>
    </row>
    <row r="10" spans="1:11" x14ac:dyDescent="0.2">
      <c r="A10" s="6" t="b">
        <v>1</v>
      </c>
      <c r="B10" s="6" t="s">
        <v>66</v>
      </c>
      <c r="C10" s="6">
        <v>0</v>
      </c>
      <c r="D10" s="10" t="s">
        <v>66</v>
      </c>
      <c r="E10" s="6" t="s">
        <v>4</v>
      </c>
      <c r="F10" s="6" t="s">
        <v>34</v>
      </c>
      <c r="G10" s="6">
        <f ca="1">INDIRECT(F$9&amp;"!C"&amp;MATCH(F10,INDIRECT(F$9&amp;"!D:D"),0))</f>
        <v>4</v>
      </c>
      <c r="H10" s="6" t="s">
        <v>36</v>
      </c>
      <c r="I10" s="6">
        <f ca="1">INDIRECT(H$9&amp;"!C"&amp;MATCH(H10,INDIRECT(H$9&amp;"!D:D"),0))</f>
        <v>0</v>
      </c>
      <c r="J10" s="6">
        <v>32</v>
      </c>
      <c r="K10" s="6" t="s">
        <v>1</v>
      </c>
    </row>
  </sheetData>
  <dataValidations count="2">
    <dataValidation type="list" allowBlank="1" showInputMessage="1" showErrorMessage="1" sqref="H10:H1048576">
      <formula1>INDIRECT("FontIds")</formula1>
    </dataValidation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G10"/>
  <sheetViews>
    <sheetView topLeftCell="A8" zoomScaleNormal="100" workbookViewId="0">
      <selection activeCell="G11" sqref="G11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30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53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72</v>
      </c>
      <c r="G9" s="5" t="s">
        <v>60</v>
      </c>
    </row>
    <row r="10" spans="1:7" x14ac:dyDescent="0.2">
      <c r="A10" s="6" t="b">
        <v>1</v>
      </c>
      <c r="B10" s="6" t="s">
        <v>67</v>
      </c>
      <c r="C10" s="6">
        <v>0</v>
      </c>
      <c r="D10" s="10" t="s">
        <v>68</v>
      </c>
      <c r="E10" s="10" t="s">
        <v>17</v>
      </c>
      <c r="F10" s="10" t="s">
        <v>69</v>
      </c>
      <c r="G10" s="10" t="s">
        <v>73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EXPORT</vt:lpstr>
      <vt:lpstr>DESC</vt:lpstr>
      <vt:lpstr>Image</vt:lpstr>
      <vt:lpstr>Font</vt:lpstr>
      <vt:lpstr>Text</vt:lpstr>
      <vt:lpstr>Sound</vt:lpstr>
      <vt:lpstr>Music</vt:lpstr>
      <vt:lpstr>ImageBox</vt:lpstr>
      <vt:lpstr>Label</vt:lpstr>
      <vt:lpstr>Button</vt:lpstr>
      <vt:lpstr>Checkbox</vt:lpstr>
      <vt:lpstr>RadioButton</vt:lpstr>
      <vt:lpstr>Textbox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2024-11-08T17:56:27Z</dcterms:modified>
</cp:coreProperties>
</file>